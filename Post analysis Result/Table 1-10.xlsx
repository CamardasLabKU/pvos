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kansas-my.sharepoint.com/personal/m443a781_home_ku_edu/Documents/Fall 2025/Github Repository/pvos-nsga2/results/Post analysis Result/"/>
    </mc:Choice>
  </mc:AlternateContent>
  <xr:revisionPtr revIDLastSave="175" documentId="8_{E875C48C-20FB-450C-9D47-87B3637A7C6D}" xr6:coauthVersionLast="47" xr6:coauthVersionMax="47" xr10:uidLastSave="{75037DC4-4267-405B-9ECA-85FB8B118A04}"/>
  <bookViews>
    <workbookView minimized="1" xWindow="2543" yWindow="2543" windowWidth="21600" windowHeight="11332" activeTab="9" xr2:uid="{57135B3E-D336-4177-99BA-4B9710F6D850}"/>
  </bookViews>
  <sheets>
    <sheet name="Table 1" sheetId="23" r:id="rId1"/>
    <sheet name="Table 2" sheetId="24" r:id="rId2"/>
    <sheet name="Table 3" sheetId="1" r:id="rId3"/>
    <sheet name="Table 4" sheetId="25" r:id="rId4"/>
    <sheet name="Table 5" sheetId="8" r:id="rId5"/>
    <sheet name="Table 6" sheetId="26" r:id="rId6"/>
    <sheet name="Table 7" sheetId="9" r:id="rId7"/>
    <sheet name="Table 8" sheetId="27" r:id="rId8"/>
    <sheet name="Table 9" sheetId="28" r:id="rId9"/>
    <sheet name="Table 10" sheetId="29" r:id="rId10"/>
  </sheets>
  <definedNames>
    <definedName name="_Ref219228487" localSheetId="0">'Table 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27" l="1"/>
  <c r="D32" i="27"/>
  <c r="D31" i="27"/>
  <c r="D30" i="27"/>
  <c r="D29" i="27"/>
  <c r="D28" i="27"/>
</calcChain>
</file>

<file path=xl/sharedStrings.xml><?xml version="1.0" encoding="utf-8"?>
<sst xmlns="http://schemas.openxmlformats.org/spreadsheetml/2006/main" count="719" uniqueCount="401">
  <si>
    <t>Problem</t>
  </si>
  <si>
    <t>Δ IGD⁺</t>
  </si>
  <si>
    <t>Δ HV</t>
  </si>
  <si>
    <t>DTLZ1</t>
  </si>
  <si>
    <t>DTLZ2</t>
  </si>
  <si>
    <t>DTLZ3</t>
  </si>
  <si>
    <t>DTLZ4</t>
  </si>
  <si>
    <t>DTLZ5</t>
  </si>
  <si>
    <t>DTLZ6</t>
  </si>
  <si>
    <t>DTLZ7</t>
  </si>
  <si>
    <t>WFG1</t>
  </si>
  <si>
    <t>WFG2</t>
  </si>
  <si>
    <t>WFG3</t>
  </si>
  <si>
    <t>WFG4</t>
  </si>
  <si>
    <t>WFG5</t>
  </si>
  <si>
    <t>WFG6</t>
  </si>
  <si>
    <t>WFG7</t>
  </si>
  <si>
    <t>WFG8</t>
  </si>
  <si>
    <t>WFG9</t>
  </si>
  <si>
    <t>ZDT1</t>
  </si>
  <si>
    <t>ZDT2</t>
  </si>
  <si>
    <t>ZDT3</t>
  </si>
  <si>
    <t>ZDT4</t>
  </si>
  <si>
    <t>ZDT6</t>
  </si>
  <si>
    <t>IGD⁺ Base NSGAII (μ±σ)</t>
  </si>
  <si>
    <t>0.0269511 ± 0.044</t>
  </si>
  <si>
    <t>0.0180153 ± 0.00064</t>
  </si>
  <si>
    <t>0.133703 ± 0.019</t>
  </si>
  <si>
    <t>0.1375 ± 0.00028</t>
  </si>
  <si>
    <t>0.0351922 ± 0.0011</t>
  </si>
  <si>
    <t>0.0313866 ± 0.0011</t>
  </si>
  <si>
    <t>0.710972 ± 0.0024</t>
  </si>
  <si>
    <t>0.719923 ± 0.0029</t>
  </si>
  <si>
    <t>0.0331272 ± 0.0034</t>
  </si>
  <si>
    <t>0.0314622 ± 0.0019</t>
  </si>
  <si>
    <t>0.716318 ± 0.008</t>
  </si>
  <si>
    <t>0.720391 ± 0.0049</t>
  </si>
  <si>
    <t>0.0481953 ± 0.091</t>
  </si>
  <si>
    <t>0.0619662 ± 0.13</t>
  </si>
  <si>
    <t>0.70042 ± 0.11</t>
  </si>
  <si>
    <t>0.687615 ± 0.15</t>
  </si>
  <si>
    <t>0.0034 ± 0.00022</t>
  </si>
  <si>
    <t>0.00281748 ± 0.00017</t>
  </si>
  <si>
    <t>0.132123 ± 0.00014</t>
  </si>
  <si>
    <t>0.13253 ± 0.0001</t>
  </si>
  <si>
    <t>0.0724649 ± 0.022</t>
  </si>
  <si>
    <t>0.0410226 ± 0.022</t>
  </si>
  <si>
    <t>0.0859227 ± 0.014</t>
  </si>
  <si>
    <t>0.107046 ± 0.015</t>
  </si>
  <si>
    <t>0.0836393 ± 0.13</t>
  </si>
  <si>
    <t>0.0399309 ± 0.034</t>
  </si>
  <si>
    <t>1.56549 ± 0.093</t>
  </si>
  <si>
    <t>1.61263 ± 0.034</t>
  </si>
  <si>
    <t>1.1655 ± 0.026</t>
  </si>
  <si>
    <t>0.708458 ± 0.076</t>
  </si>
  <si>
    <t>24.4121 ± 1.8</t>
  </si>
  <si>
    <t>38.8204 ± 2.2</t>
  </si>
  <si>
    <t>0.189831 ± 0.13</t>
  </si>
  <si>
    <t>0.15928 ± 0.14</t>
  </si>
  <si>
    <t>54.6574 ± 4.3</t>
  </si>
  <si>
    <t>55.7868 ± 4.4</t>
  </si>
  <si>
    <t>0.0531583 ± 0.0071</t>
  </si>
  <si>
    <t>0.0216788 ± 0.0017</t>
  </si>
  <si>
    <t>5.79673 ± 0.25</t>
  </si>
  <si>
    <t>6.04538 ± 0.26</t>
  </si>
  <si>
    <t>0.152354 ± 0.01</t>
  </si>
  <si>
    <t>0.117514 ± 0.0064</t>
  </si>
  <si>
    <t>31.3312 ± 0.46</t>
  </si>
  <si>
    <t>32.8596 ± 0.39</t>
  </si>
  <si>
    <t>0.172251 ± 0.0055</t>
  </si>
  <si>
    <t>0.157656 ± 0.0037</t>
  </si>
  <si>
    <t>29.7095 ± 0.29</t>
  </si>
  <si>
    <t>30.2192 ± 0.29</t>
  </si>
  <si>
    <t>0.225132 ± 0.034</t>
  </si>
  <si>
    <t>0.101851 ± 0.0042</t>
  </si>
  <si>
    <t>29.1797 ± 1.4</t>
  </si>
  <si>
    <t>34.4157 ± 0.19</t>
  </si>
  <si>
    <t>0.131188 ± 0.005</t>
  </si>
  <si>
    <t>0.106241 ± 0.0054</t>
  </si>
  <si>
    <t>33.1101 ± 0.27</t>
  </si>
  <si>
    <t>34.0498 ± 0.2</t>
  </si>
  <si>
    <t>0.420927 ± 0.015</t>
  </si>
  <si>
    <t>0.166008 ± 0.0054</t>
  </si>
  <si>
    <t>24.5118 ± 0.37</t>
  </si>
  <si>
    <t>31.7472 ± 0.26</t>
  </si>
  <si>
    <t>0.208366 ± 0.072</t>
  </si>
  <si>
    <t>0.145166 ± 0.0037</t>
  </si>
  <si>
    <t>30.301 ± 2.5</t>
  </si>
  <si>
    <t>32.7907 ± 0.17</t>
  </si>
  <si>
    <t>0.0045432 ± 0.00029</t>
  </si>
  <si>
    <t>0.00403666 ± 0.00028</t>
  </si>
  <si>
    <t>0.86778 ± 0.00046</t>
  </si>
  <si>
    <t>0.868688 ± 0.00047</t>
  </si>
  <si>
    <t>0.00440269 ± 0.00041</t>
  </si>
  <si>
    <t>0.00407537 ± 0.0004</t>
  </si>
  <si>
    <t>0.534049 ± 0.00069</t>
  </si>
  <si>
    <t>0.534447 ± 0.0019</t>
  </si>
  <si>
    <t>0.00497922 ± 0.01</t>
  </si>
  <si>
    <t>0.00339741 ± 0.0074</t>
  </si>
  <si>
    <t>1.0182 ± 0.0079</t>
  </si>
  <si>
    <t>1.02014 ± 0.0058</t>
  </si>
  <si>
    <t>0.868798 ± 0.0011</t>
  </si>
  <si>
    <t>0.869111 ± 0.0011</t>
  </si>
  <si>
    <t>0.00354047 ± 0.00013</t>
  </si>
  <si>
    <t>0.0029828 ± 9.2e-05</t>
  </si>
  <si>
    <t>0.430702 ± 0.00015</t>
  </si>
  <si>
    <t>0.431697 ± 0.00013</t>
  </si>
  <si>
    <t>HV Base NSGAII  (μ±σ)</t>
  </si>
  <si>
    <t>blx-ux</t>
  </si>
  <si>
    <t>sbx-blx</t>
  </si>
  <si>
    <t>sbx-spx</t>
  </si>
  <si>
    <t>sbx-ux</t>
  </si>
  <si>
    <t>spx-ux</t>
  </si>
  <si>
    <t>0.0316483 ± 0.057</t>
  </si>
  <si>
    <t>1.12569 ± 1</t>
  </si>
  <si>
    <t>0.0181476 ± 0.00092</t>
  </si>
  <si>
    <t>0.018013 ± 0.00072</t>
  </si>
  <si>
    <t>0.0320299 ± 0.00075</t>
  </si>
  <si>
    <t>0.0340669 ± 0.00087</t>
  </si>
  <si>
    <t>0.032819 ± 0.0011</t>
  </si>
  <si>
    <t>0.0305539 ± 0.0006</t>
  </si>
  <si>
    <t>0.0302866 ± 0.00084</t>
  </si>
  <si>
    <t>0.0280284 ± 0.00094</t>
  </si>
  <si>
    <t>0.0460901 ± 0.084</t>
  </si>
  <si>
    <t>0.0282489 ± 0.001</t>
  </si>
  <si>
    <t>0.0307346 ± 0.00048</t>
  </si>
  <si>
    <t>0.0324309 ± 0.0006</t>
  </si>
  <si>
    <t>0.0965835 ± 0.17</t>
  </si>
  <si>
    <t>0.028966 ± 0.00045</t>
  </si>
  <si>
    <t>0.00301367 ± 0.00019</t>
  </si>
  <si>
    <t>0.00311265 ± 0.00026</t>
  </si>
  <si>
    <t>0.00269735 ± 0.00014</t>
  </si>
  <si>
    <t>0.0027853 ± 0.00014</t>
  </si>
  <si>
    <t>0.00205367 ± 5.9e-05</t>
  </si>
  <si>
    <t>0.00196362 ± 5.8e-05</t>
  </si>
  <si>
    <t>0.0293812 ± 0.023</t>
  </si>
  <si>
    <t>0.00205684 ± 5.3e-05</t>
  </si>
  <si>
    <t>0.00267282 ± 6.6e-05</t>
  </si>
  <si>
    <t>0.0339115 ± 0.00091</t>
  </si>
  <si>
    <t>0.0401689 ± 0.034</t>
  </si>
  <si>
    <t>0.0402394 ± 0.034</t>
  </si>
  <si>
    <t>0.0303222 ± 0.00078</t>
  </si>
  <si>
    <t>0.457805 ± 0.09</t>
  </si>
  <si>
    <t>0.678005 ± 0.033</t>
  </si>
  <si>
    <t>0.69295 ± 0.078</t>
  </si>
  <si>
    <t>0.425308 ± 0.11</t>
  </si>
  <si>
    <t>0.874947 ± 0.022</t>
  </si>
  <si>
    <t>0.0463269 ± 0.0035</t>
  </si>
  <si>
    <t>0.04846 ± 0.0038</t>
  </si>
  <si>
    <t>0.0459076 ± 0.0036</t>
  </si>
  <si>
    <t>0.0245098 ± 0.0018</t>
  </si>
  <si>
    <t>0.0254166 ± 0.0024</t>
  </si>
  <si>
    <t>0.0246829 ± 0.0023</t>
  </si>
  <si>
    <t>0.0200914 ± 0.0022</t>
  </si>
  <si>
    <t>0.0215154 ± 0.0026</t>
  </si>
  <si>
    <t>0.107356 ± 0.004</t>
  </si>
  <si>
    <t>0.117566 ± 0.0035</t>
  </si>
  <si>
    <t>0.102018 ± 0.0042</t>
  </si>
  <si>
    <t>0.103328 ± 0.0048</t>
  </si>
  <si>
    <t>0.0944115 ± 0.0036</t>
  </si>
  <si>
    <t>0.155411 ± 0.0026</t>
  </si>
  <si>
    <t>0.160172 ± 0.0043</t>
  </si>
  <si>
    <t>0.154619 ± 0.0029</t>
  </si>
  <si>
    <t>0.153983 ± 0.0019</t>
  </si>
  <si>
    <t>0.150911 ± 0.0026</t>
  </si>
  <si>
    <t>0.102566 ± 0.003</t>
  </si>
  <si>
    <t>0.104761 ± 0.0044</t>
  </si>
  <si>
    <t>0.106309 ± 0.0036</t>
  </si>
  <si>
    <t>0.0989006 ± 0.0026</t>
  </si>
  <si>
    <t>0.100234 ± 0.0032</t>
  </si>
  <si>
    <t>0.102112 ± 0.0042</t>
  </si>
  <si>
    <t>0.107495 ± 0.0043</t>
  </si>
  <si>
    <t>0.109729 ± 0.0062</t>
  </si>
  <si>
    <t>0.102235 ± 0.0048</t>
  </si>
  <si>
    <t>0.105093 ± 0.0053</t>
  </si>
  <si>
    <t>0.172505 ± 0.0073</t>
  </si>
  <si>
    <t>0.170031 ± 0.0066</t>
  </si>
  <si>
    <t>0.170768 ± 0.0052</t>
  </si>
  <si>
    <t>0.167094 ± 0.0064</t>
  </si>
  <si>
    <t>0.170074 ± 0.0059</t>
  </si>
  <si>
    <t>0.147514 ± 0.0047</t>
  </si>
  <si>
    <t>0.149152 ± 0.0055</t>
  </si>
  <si>
    <t>0.149522 ± 0.005</t>
  </si>
  <si>
    <t>0.145328 ± 0.0056</t>
  </si>
  <si>
    <t>0.144904 ± 0.004</t>
  </si>
  <si>
    <t>0.00293464 ± 9.3e-05</t>
  </si>
  <si>
    <t>0.0038853 ± 0.00018</t>
  </si>
  <si>
    <t>0.00349815 ± 0.00016</t>
  </si>
  <si>
    <t>0.00329556 ± 0.00015</t>
  </si>
  <si>
    <t>0.00308314 ± 0.00021</t>
  </si>
  <si>
    <t>0.00255252 ± 0.00013</t>
  </si>
  <si>
    <t>0.00354671 ± 0.00021</t>
  </si>
  <si>
    <t>0.00351307 ± 0.00045</t>
  </si>
  <si>
    <t>0.0029621 ± 0.00014</t>
  </si>
  <si>
    <t>0.00477007 ± 0.0085</t>
  </si>
  <si>
    <t>0.00140079 ± 5.9e-05</t>
  </si>
  <si>
    <t>0.00309545 ± 0.0074</t>
  </si>
  <si>
    <t>0.00170424 ± 0.00015</t>
  </si>
  <si>
    <t>0.00388663 ± 0.0089</t>
  </si>
  <si>
    <t>0.00260596 ± 0.00013</t>
  </si>
  <si>
    <t>0.00286699 ± 0.00019</t>
  </si>
  <si>
    <t>0.00277295 ± 0.00024</t>
  </si>
  <si>
    <t>0.0047048 ± 0.00047</t>
  </si>
  <si>
    <t>0.00232427 ± 6.7e-05</t>
  </si>
  <si>
    <t>0.00327041 ± 0.00011</t>
  </si>
  <si>
    <t>0.00279348 ± 0.00012</t>
  </si>
  <si>
    <t>0.00234287 ± 5.8e-05</t>
  </si>
  <si>
    <t>0.00305461 ± 7.6e-05</t>
  </si>
  <si>
    <t>blx-spx</t>
  </si>
  <si>
    <t>Base NSGAII (seconds)</t>
  </si>
  <si>
    <t>% Reduction</t>
  </si>
  <si>
    <t>dtlz1</t>
  </si>
  <si>
    <t>dtlz2</t>
  </si>
  <si>
    <t>dtlz3</t>
  </si>
  <si>
    <t>dtlz4</t>
  </si>
  <si>
    <t>dtlz5</t>
  </si>
  <si>
    <t>dtlz6</t>
  </si>
  <si>
    <t>dtlz7</t>
  </si>
  <si>
    <t>wfg1</t>
  </si>
  <si>
    <t>wfg2</t>
  </si>
  <si>
    <t>wfg3</t>
  </si>
  <si>
    <t>wfg4</t>
  </si>
  <si>
    <t>wfg5</t>
  </si>
  <si>
    <t>wfg6</t>
  </si>
  <si>
    <t>wfg7</t>
  </si>
  <si>
    <t>wfg8</t>
  </si>
  <si>
    <t>wfg9</t>
  </si>
  <si>
    <t>zdt1</t>
  </si>
  <si>
    <t>zdt2</t>
  </si>
  <si>
    <t>zdt3</t>
  </si>
  <si>
    <t>zdt4</t>
  </si>
  <si>
    <t>zdt6</t>
  </si>
  <si>
    <t>0.021671 ± 0.03</t>
  </si>
  <si>
    <t>0.0309672 ± 0.00072</t>
  </si>
  <si>
    <t>0.028149 ± 0.0007</t>
  </si>
  <si>
    <t>0.0290481 ± 0.00063</t>
  </si>
  <si>
    <t>0.00281449 ± 0.00017</t>
  </si>
  <si>
    <t>0.00210898 ± 8.4e-05</t>
  </si>
  <si>
    <t>0.0585682 ± 0.065</t>
  </si>
  <si>
    <t>0.451834 ± 0.11</t>
  </si>
  <si>
    <t>0.0481855 ± 0.0029</t>
  </si>
  <si>
    <t>0.0222531 ± 0.0017</t>
  </si>
  <si>
    <t>0.0999406 ± 0.0033</t>
  </si>
  <si>
    <t>0.153006 ± 0.0027</t>
  </si>
  <si>
    <t>0.101821 ± 0.0029</t>
  </si>
  <si>
    <t>0.1015 ± 0.0044</t>
  </si>
  <si>
    <t>0.167775 ± 0.0068</t>
  </si>
  <si>
    <t>0.146982 ± 0.0049</t>
  </si>
  <si>
    <t>0.00297668 ± 0.00015</t>
  </si>
  <si>
    <t>0.00275433 ± 0.00017</t>
  </si>
  <si>
    <t>0.00154485 ± 8.9e-05</t>
  </si>
  <si>
    <t>0.00274373 ± 0.00024</t>
  </si>
  <si>
    <t>0.00239071 ± 5.5e-05</t>
  </si>
  <si>
    <t>C1DTLZ1</t>
  </si>
  <si>
    <t>0.01888 ± 0.002027</t>
  </si>
  <si>
    <t>0.01783 ± 0.0007278</t>
  </si>
  <si>
    <t>0.135 ± 0.002358</t>
  </si>
  <si>
    <t>0.1365 ± 0.0009763</t>
  </si>
  <si>
    <t>C2DTLZ2</t>
  </si>
  <si>
    <t>0.02257 ± 0.0007479</t>
  </si>
  <si>
    <t>0.02017 ± 0.0009136</t>
  </si>
  <si>
    <t>0.6551 ± 0.003586</t>
  </si>
  <si>
    <t>0.6598 ± 0.003361</t>
  </si>
  <si>
    <t>C3DTLZ4</t>
  </si>
  <si>
    <t>0.07769 ± 0.00241</t>
  </si>
  <si>
    <t>0.1127 ± 0.2062</t>
  </si>
  <si>
    <t>8.236 ± 0.0164</t>
  </si>
  <si>
    <t>8.02 ± 1.273</t>
  </si>
  <si>
    <t>dc1dtlz1</t>
  </si>
  <si>
    <t>0.04827 ± 0.009724</t>
  </si>
  <si>
    <t>0.04395 ± 0.005768</t>
  </si>
  <si>
    <t>0.1151 ± 0.004705</t>
  </si>
  <si>
    <t>0.1172 ± 0.002792</t>
  </si>
  <si>
    <t>DC1DTLZ3</t>
  </si>
  <si>
    <t>0.07457 ± 0.01283</t>
  </si>
  <si>
    <t>0.0699 ± 0.01333</t>
  </si>
  <si>
    <t>0.5991 ± 0.04551</t>
  </si>
  <si>
    <t>0.6159 ± 0.04803</t>
  </si>
  <si>
    <t>DC3DTLZ1</t>
  </si>
  <si>
    <t>0.4713 ± 0.3119</t>
  </si>
  <si>
    <t>0.3104 ± 0.1666</t>
  </si>
  <si>
    <t>0.02589 ± 0.03635</t>
  </si>
  <si>
    <t>0.03451 ± 0.03781</t>
  </si>
  <si>
    <t>0.0159024 ± 0.00021</t>
  </si>
  <si>
    <t>0.0163249 ± 0.00033</t>
  </si>
  <si>
    <t>0.0178925 ± 0.00087</t>
  </si>
  <si>
    <t>0.0161233 ± 0.00024</t>
  </si>
  <si>
    <t>0.0177653 ± 0.0006</t>
  </si>
  <si>
    <t>0.019467 ± 0.00064</t>
  </si>
  <si>
    <t>0.0211839 ± 0.0008</t>
  </si>
  <si>
    <t>0.0207164 ± 0.00088</t>
  </si>
  <si>
    <t>0.0190804 ± 0.0005</t>
  </si>
  <si>
    <t>0.0190855 ± 0.00054</t>
  </si>
  <si>
    <t>0.0904672 ± 0.059</t>
  </si>
  <si>
    <t>0.0808299 ± 0.0025</t>
  </si>
  <si>
    <t>0.0880772 ± 0.059</t>
  </si>
  <si>
    <t>0.0763029 ± 0.0024</t>
  </si>
  <si>
    <t>0.105536 ± 0.1</t>
  </si>
  <si>
    <t>DC1DTLZ1</t>
  </si>
  <si>
    <t>0.0418866 ± 0.00018</t>
  </si>
  <si>
    <t>0.0425445 ± 0.00035</t>
  </si>
  <si>
    <t>0.0430989 ± 0.0042</t>
  </si>
  <si>
    <t>0.0425181 ± 0.00026</t>
  </si>
  <si>
    <t>0.0447336 ± 0.0069</t>
  </si>
  <si>
    <t>0.0540315 ± 0.0014</t>
  </si>
  <si>
    <t>0.0548998 ± 0.00047</t>
  </si>
  <si>
    <t>0.0819528 ± 0.044</t>
  </si>
  <si>
    <t>0.0546554 ± 0.00063</t>
  </si>
  <si>
    <t>0.0812883 ± 0.053</t>
  </si>
  <si>
    <t>0.464939 ± 0.31</t>
  </si>
  <si>
    <t>1.03454 ± 0.75</t>
  </si>
  <si>
    <t>0.284964 ± 0.13</t>
  </si>
  <si>
    <t>0.674428 ± 0.47</t>
  </si>
  <si>
    <t>0.220755 ± 0.14</t>
  </si>
  <si>
    <t>Average Time to Converge</t>
  </si>
  <si>
    <t>Average total runtime per seed</t>
  </si>
  <si>
    <t>0.00394047 ± 0.00061*</t>
  </si>
  <si>
    <t>0.00379602 ± 0.00062*</t>
  </si>
  <si>
    <t>HV  PVOS-2C  (μ±σ)</t>
  </si>
  <si>
    <t xml:space="preserve"> PVOS-2C (seconds)</t>
  </si>
  <si>
    <t>0.05459 ± 0.0008021</t>
  </si>
  <si>
    <t>0.281 ± 0.1649</t>
  </si>
  <si>
    <t>0.04207 ± 0.0004067</t>
  </si>
  <si>
    <t>0.07753 ± 0.001699</t>
  </si>
  <si>
    <t>0.01942 ± 0.0004843</t>
  </si>
  <si>
    <t>0.01609 ± 0.0002006</t>
  </si>
  <si>
    <t>IGD⁺ PVOS-4C (μ±σ)</t>
  </si>
  <si>
    <t>(blx-ux)</t>
  </si>
  <si>
    <t>(spx-ux)</t>
  </si>
  <si>
    <t>(blx-spx)</t>
  </si>
  <si>
    <t>(sbx-blx)</t>
  </si>
  <si>
    <t>blx-spx)</t>
  </si>
  <si>
    <t>(sbx-spx)</t>
  </si>
  <si>
    <t xml:space="preserve">Base NSGAII </t>
  </si>
  <si>
    <t>(seconds)</t>
  </si>
  <si>
    <t xml:space="preserve">IGD⁺ PVOS-4C </t>
  </si>
  <si>
    <t>IGD⁺ PVOS-4C</t>
  </si>
  <si>
    <t xml:space="preserve"> (μ±σ)</t>
  </si>
  <si>
    <t xml:space="preserve">Best IGD⁺ among PVOS-2C combination </t>
  </si>
  <si>
    <t>IGD⁺ PVOS-2C (μ±σ)</t>
  </si>
  <si>
    <t>0.00394047 ± 0.00061</t>
  </si>
  <si>
    <t>% Time Reduction</t>
  </si>
  <si>
    <t>0.00222282 ± 0.00011*</t>
  </si>
  <si>
    <t>0.00404243 ± 0.0011*</t>
  </si>
  <si>
    <t>0.0521807 ± 0.071*</t>
  </si>
  <si>
    <t>0.0323079 ± 0.0028*</t>
  </si>
  <si>
    <t>0.0318362 ± 0.0019*</t>
  </si>
  <si>
    <t>0.14875 ± 0.18*</t>
  </si>
  <si>
    <t>0.00336135 ± 0.00023*</t>
  </si>
  <si>
    <t>0.0443698 ± 0.034*</t>
  </si>
  <si>
    <t>0.177392 ± 0.14*</t>
  </si>
  <si>
    <t>0.201079 ± 0.14*</t>
  </si>
  <si>
    <t>c1dtlz1</t>
  </si>
  <si>
    <t>c2dtlz2</t>
  </si>
  <si>
    <t>c3dtlz4</t>
  </si>
  <si>
    <t>dc1dtlz3</t>
  </si>
  <si>
    <t>dc3dtlz1</t>
  </si>
  <si>
    <t>problem</t>
  </si>
  <si>
    <t xml:space="preserve">Number of reached seeds to the threshold </t>
  </si>
  <si>
    <t>Base NSGA-II (out of 30)</t>
  </si>
  <si>
    <t>PVOS-2C (out of 30)</t>
  </si>
  <si>
    <t>PVOS-4C (out of 30)</t>
  </si>
  <si>
    <t>Total seeds that reached the threshold</t>
  </si>
  <si>
    <t>% seeds that reached the threshold</t>
  </si>
  <si>
    <t>sbx-spx % Time Reduction</t>
  </si>
  <si>
    <t>blx-ux % Time Reduction</t>
  </si>
  <si>
    <t>blx-spx % Time Reduction</t>
  </si>
  <si>
    <t>sbx-blx % Time Reduction</t>
  </si>
  <si>
    <t>sbx-ux % Time Reduction</t>
  </si>
  <si>
    <t>spx-ux % Time Reduction</t>
  </si>
  <si>
    <t>Parameter</t>
  </si>
  <si>
    <t>Value</t>
  </si>
  <si>
    <t>Population size (N)</t>
  </si>
  <si>
    <r>
      <t>Crossover probability (p</t>
    </r>
    <r>
      <rPr>
        <vertAlign val="subscript"/>
        <sz val="11"/>
        <color theme="1"/>
        <rFont val="Times New Roman"/>
        <family val="1"/>
      </rPr>
      <t>c</t>
    </r>
    <r>
      <rPr>
        <sz val="11"/>
        <color theme="1"/>
        <rFont val="Times New Roman"/>
        <family val="1"/>
      </rPr>
      <t>)</t>
    </r>
  </si>
  <si>
    <r>
      <t>Mutation probability (p</t>
    </r>
    <r>
      <rPr>
        <vertAlign val="subscript"/>
        <sz val="11"/>
        <color theme="1"/>
        <rFont val="Times New Roman"/>
        <family val="1"/>
      </rPr>
      <t>m</t>
    </r>
    <r>
      <rPr>
        <sz val="11"/>
        <color theme="1"/>
        <rFont val="Times New Roman"/>
        <family val="1"/>
      </rPr>
      <t>)</t>
    </r>
  </si>
  <si>
    <t>1/D</t>
  </si>
  <si>
    <r>
      <t>SBX distribution index (η</t>
    </r>
    <r>
      <rPr>
        <vertAlign val="subscript"/>
        <sz val="11"/>
        <color theme="1"/>
        <rFont val="Times New Roman"/>
        <family val="1"/>
      </rPr>
      <t>c</t>
    </r>
    <r>
      <rPr>
        <sz val="11"/>
        <color theme="1"/>
        <rFont val="Times New Roman"/>
        <family val="1"/>
      </rPr>
      <t>)</t>
    </r>
  </si>
  <si>
    <r>
      <t>Polynomial‑mutation index (η</t>
    </r>
    <r>
      <rPr>
        <vertAlign val="subscript"/>
        <sz val="11"/>
        <color theme="1"/>
        <rFont val="Times New Roman"/>
        <family val="1"/>
      </rPr>
      <t>m</t>
    </r>
    <r>
      <rPr>
        <sz val="11"/>
        <color theme="1"/>
        <rFont val="Times New Roman"/>
        <family val="1"/>
      </rPr>
      <t>)</t>
    </r>
  </si>
  <si>
    <t>BLX-α  mixing coefficient (α)</t>
  </si>
  <si>
    <r>
      <t>Uniform swap probability (p</t>
    </r>
    <r>
      <rPr>
        <vertAlign val="subscript"/>
        <sz val="11"/>
        <color theme="1"/>
        <rFont val="Times New Roman"/>
        <family val="1"/>
      </rPr>
      <t>swap</t>
    </r>
    <r>
      <rPr>
        <sz val="11"/>
        <color theme="1"/>
        <rFont val="Times New Roman"/>
        <family val="1"/>
      </rPr>
      <t>​)</t>
    </r>
  </si>
  <si>
    <t>Table 1: Parameter settings used across experiments</t>
  </si>
  <si>
    <t>Generations (G)</t>
  </si>
  <si>
    <t>Objectives</t>
  </si>
  <si>
    <t>(M)</t>
  </si>
  <si>
    <t>Decision Variables (D)</t>
  </si>
  <si>
    <t>Inequality Constraints</t>
  </si>
  <si>
    <t>ZDT1-3</t>
  </si>
  <si>
    <t>ZDT4,6</t>
  </si>
  <si>
    <t>DTLZ1,3,6</t>
  </si>
  <si>
    <t>DTLZ2,5,7</t>
  </si>
  <si>
    <t>WFG1-9</t>
  </si>
  <si>
    <t>Table 2: Benchmark problems and dimensions.</t>
  </si>
  <si>
    <t xml:space="preserve">Table 3: IGD⁺ and HV (mean ± SD) for PVOS 2C (SBX-SPX) vs NSGA II across all problems. A positive Δ means PVOS‑2C performs better than baseline NSGA‑II. ‘†’ denotes no significant difference from classic NSGA-II (Wilcoxon, α=0.05). </t>
  </si>
  <si>
    <t>Table 4: Average time-to-convergence and total runtime per seed for PVOS 2C vs NSGA II. Percent reduction is relative to the baseline (positive = faster, negative = slower). (Left: time to convergence; Right: total runtime.)</t>
  </si>
  <si>
    <t xml:space="preserve">Table 5: IGD⁺ (mean ±SD) for PVOS-2C operator pairs across 27 benchmarks. Darker green = lower IGD⁺ (better). ‘†’ denotes no significant difference from classic NSGA-II (Wilcoxon, α=0.05). </t>
  </si>
  <si>
    <t>Table 6: Time‑to‑convergence reduction (%) for PVOS‑2C pairs vs baseline NSGA‑II (equal number of objective function evaluations). Positive = faster; negative = slower..</t>
  </si>
  <si>
    <t>Table 7: IGD⁺ (mean ± SD) for PVOS 4C vs NSGA II across all problems. ΔIGD⁺ = % reduction vs. baseline (positive = better). ‘†’ marks no significant difference from classic NSGA-II (Wilcoxon, α=0.05).</t>
  </si>
  <si>
    <t>Table 8: : Average time-to-convergence and total runtime per seed for PVOS 4C vs NSGA II. Percent reduction is relative to the baseline (positive = faster, negative = slower). (Left: time to convergence; Right: total runtime.)</t>
  </si>
  <si>
    <t>Table 9: PVOS 4C vs best PVOS 2C per problem: IGD⁺ (mean ± SD). Parentheses show the winning 2 operator pair. Equal evaluations; lower is better.</t>
  </si>
  <si>
    <t xml:space="preserve">              (μ ± σ)</t>
  </si>
  <si>
    <t>Table 10: Attainment counts: number of runs (out of 30) per problem reaching the IGD⁺ threshold (1.1× the baseline mean) for NSGA II, PVOS 2C, and PVOS 4C.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</si>
</sst>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rgb="FF000000"/>
      <name val="Segoe UI"/>
      <family val="2"/>
    </font>
    <font>
      <b/>
      <sz val="9"/>
      <color rgb="FF000000"/>
      <name val="Segoe UI"/>
      <family val="2"/>
    </font>
    <font>
      <b/>
      <sz val="9"/>
      <color rgb="FF000000"/>
      <name val="Times New Roman"/>
      <family val="1"/>
    </font>
    <font>
      <sz val="8"/>
      <color rgb="FF000000"/>
      <name val="Segoe UI"/>
      <family val="2"/>
    </font>
    <font>
      <sz val="8"/>
      <color rgb="FF9C0006"/>
      <name val="Segoe UI"/>
      <family val="2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rgb="FF9C0006"/>
      <name val="Times New Roman"/>
      <family val="1"/>
    </font>
    <font>
      <b/>
      <sz val="16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i/>
      <sz val="9"/>
      <color rgb="FF0E2841"/>
      <name val="Times New Roman"/>
      <family val="1"/>
    </font>
  </fonts>
  <fills count="9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94D2A6"/>
        <bgColor indexed="64"/>
      </patternFill>
    </fill>
    <fill>
      <patternFill patternType="solid">
        <fgColor rgb="FFFCFCFF"/>
        <bgColor indexed="64"/>
      </patternFill>
    </fill>
    <fill>
      <patternFill patternType="solid">
        <fgColor rgb="FF77C68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1D1A3"/>
        <bgColor indexed="64"/>
      </patternFill>
    </fill>
    <fill>
      <patternFill patternType="solid">
        <fgColor rgb="FF99D4AA"/>
        <bgColor indexed="64"/>
      </patternFill>
    </fill>
    <fill>
      <patternFill patternType="solid">
        <fgColor rgb="FFE2F5DB"/>
        <bgColor indexed="64"/>
      </patternFill>
    </fill>
    <fill>
      <patternFill patternType="solid">
        <fgColor rgb="FFFAFDF9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B5E0C2"/>
        <bgColor indexed="64"/>
      </patternFill>
    </fill>
    <fill>
      <patternFill patternType="solid">
        <fgColor rgb="FF7FCA93"/>
        <bgColor indexed="64"/>
      </patternFill>
    </fill>
    <fill>
      <patternFill patternType="solid">
        <fgColor rgb="FF9DD6AE"/>
        <bgColor indexed="64"/>
      </patternFill>
    </fill>
    <fill>
      <patternFill patternType="solid">
        <fgColor rgb="FFB3DFC0"/>
        <bgColor indexed="64"/>
      </patternFill>
    </fill>
    <fill>
      <patternFill patternType="solid">
        <fgColor rgb="FF7CC890"/>
        <bgColor indexed="64"/>
      </patternFill>
    </fill>
    <fill>
      <patternFill patternType="solid">
        <fgColor rgb="FFB2DEBF"/>
        <bgColor indexed="64"/>
      </patternFill>
    </fill>
    <fill>
      <patternFill patternType="solid">
        <fgColor rgb="FFAFDDBD"/>
        <bgColor indexed="64"/>
      </patternFill>
    </fill>
    <fill>
      <patternFill patternType="solid">
        <fgColor rgb="FF97D3A8"/>
        <bgColor indexed="64"/>
      </patternFill>
    </fill>
    <fill>
      <patternFill patternType="solid">
        <fgColor rgb="FFA6D9B5"/>
        <bgColor indexed="64"/>
      </patternFill>
    </fill>
    <fill>
      <patternFill patternType="solid">
        <fgColor rgb="FF75C68B"/>
        <bgColor indexed="64"/>
      </patternFill>
    </fill>
    <fill>
      <patternFill patternType="solid">
        <fgColor rgb="FFD3ECDC"/>
        <bgColor indexed="64"/>
      </patternFill>
    </fill>
    <fill>
      <patternFill patternType="solid">
        <fgColor rgb="FF67C07F"/>
        <bgColor indexed="64"/>
      </patternFill>
    </fill>
    <fill>
      <patternFill patternType="solid">
        <fgColor rgb="FFC3E5CE"/>
        <bgColor indexed="64"/>
      </patternFill>
    </fill>
    <fill>
      <patternFill patternType="solid">
        <fgColor rgb="FF9CD5AC"/>
        <bgColor indexed="64"/>
      </patternFill>
    </fill>
    <fill>
      <patternFill patternType="solid">
        <fgColor rgb="FF87CD9A"/>
        <bgColor indexed="64"/>
      </patternFill>
    </fill>
    <fill>
      <patternFill patternType="solid">
        <fgColor rgb="FF6BC282"/>
        <bgColor indexed="64"/>
      </patternFill>
    </fill>
    <fill>
      <patternFill patternType="solid">
        <fgColor rgb="FF8ACE9D"/>
        <bgColor indexed="64"/>
      </patternFill>
    </fill>
    <fill>
      <patternFill patternType="solid">
        <fgColor rgb="FFC9E8D3"/>
        <bgColor indexed="64"/>
      </patternFill>
    </fill>
    <fill>
      <patternFill patternType="solid">
        <fgColor rgb="FF6AC181"/>
        <bgColor indexed="64"/>
      </patternFill>
    </fill>
    <fill>
      <patternFill patternType="solid">
        <fgColor rgb="FF80CA94"/>
        <bgColor indexed="64"/>
      </patternFill>
    </fill>
    <fill>
      <patternFill patternType="solid">
        <fgColor rgb="FF83CB97"/>
        <bgColor indexed="64"/>
      </patternFill>
    </fill>
    <fill>
      <patternFill patternType="solid">
        <fgColor rgb="FFA9DBB7"/>
        <bgColor indexed="64"/>
      </patternFill>
    </fill>
    <fill>
      <patternFill patternType="solid">
        <fgColor rgb="FF68C07F"/>
        <bgColor indexed="64"/>
      </patternFill>
    </fill>
    <fill>
      <patternFill patternType="solid">
        <fgColor rgb="FF86CD99"/>
        <bgColor indexed="64"/>
      </patternFill>
    </fill>
    <fill>
      <patternFill patternType="solid">
        <fgColor rgb="FFA2D8B1"/>
        <bgColor indexed="64"/>
      </patternFill>
    </fill>
    <fill>
      <patternFill patternType="solid">
        <fgColor rgb="FFEDF6F2"/>
        <bgColor indexed="64"/>
      </patternFill>
    </fill>
    <fill>
      <patternFill patternType="solid">
        <fgColor rgb="FF71C487"/>
        <bgColor indexed="64"/>
      </patternFill>
    </fill>
    <fill>
      <patternFill patternType="solid">
        <fgColor rgb="FFEBF5F0"/>
        <bgColor indexed="64"/>
      </patternFill>
    </fill>
    <fill>
      <patternFill patternType="solid">
        <fgColor rgb="FF66BF7D"/>
        <bgColor indexed="64"/>
      </patternFill>
    </fill>
    <fill>
      <patternFill patternType="solid">
        <fgColor rgb="FF74C58A"/>
        <bgColor indexed="64"/>
      </patternFill>
    </fill>
    <fill>
      <patternFill patternType="solid">
        <fgColor rgb="FFBCE2C8"/>
        <bgColor indexed="64"/>
      </patternFill>
    </fill>
    <fill>
      <patternFill patternType="solid">
        <fgColor rgb="FFC8E7D2"/>
        <bgColor indexed="64"/>
      </patternFill>
    </fill>
    <fill>
      <patternFill patternType="solid">
        <fgColor rgb="FFABDBB9"/>
        <bgColor indexed="64"/>
      </patternFill>
    </fill>
    <fill>
      <patternFill patternType="solid">
        <fgColor rgb="FFCBE9D5"/>
        <bgColor indexed="64"/>
      </patternFill>
    </fill>
    <fill>
      <patternFill patternType="solid">
        <fgColor rgb="FF64BF7C"/>
        <bgColor indexed="64"/>
      </patternFill>
    </fill>
    <fill>
      <patternFill patternType="solid">
        <fgColor rgb="FF67C07E"/>
        <bgColor indexed="64"/>
      </patternFill>
    </fill>
    <fill>
      <patternFill patternType="solid">
        <fgColor rgb="FFDCF0E4"/>
        <bgColor indexed="64"/>
      </patternFill>
    </fill>
    <fill>
      <patternFill patternType="solid">
        <fgColor rgb="FF6CC283"/>
        <bgColor indexed="64"/>
      </patternFill>
    </fill>
    <fill>
      <patternFill patternType="solid">
        <fgColor rgb="FF8DCF9F"/>
        <bgColor indexed="64"/>
      </patternFill>
    </fill>
    <fill>
      <patternFill patternType="solid">
        <fgColor rgb="FF89CE9C"/>
        <bgColor indexed="64"/>
      </patternFill>
    </fill>
    <fill>
      <patternFill patternType="solid">
        <fgColor rgb="FF9FD7AF"/>
        <bgColor indexed="64"/>
      </patternFill>
    </fill>
    <fill>
      <patternFill patternType="solid">
        <fgColor rgb="FF9DD6AD"/>
        <bgColor indexed="64"/>
      </patternFill>
    </fill>
    <fill>
      <patternFill patternType="solid">
        <fgColor rgb="FFC0E4CB"/>
        <bgColor indexed="64"/>
      </patternFill>
    </fill>
    <fill>
      <patternFill patternType="solid">
        <fgColor rgb="FFD6EDDE"/>
        <bgColor indexed="64"/>
      </patternFill>
    </fill>
    <fill>
      <patternFill patternType="solid">
        <fgColor rgb="FF95D3A6"/>
        <bgColor indexed="64"/>
      </patternFill>
    </fill>
    <fill>
      <patternFill patternType="solid">
        <fgColor rgb="FFB0DEBE"/>
        <bgColor indexed="64"/>
      </patternFill>
    </fill>
    <fill>
      <patternFill patternType="solid">
        <fgColor rgb="FFE3F2EA"/>
        <bgColor indexed="64"/>
      </patternFill>
    </fill>
    <fill>
      <patternFill patternType="solid">
        <fgColor rgb="FF88CD9B"/>
        <bgColor indexed="64"/>
      </patternFill>
    </fill>
    <fill>
      <patternFill patternType="solid">
        <fgColor rgb="FFB6E0C3"/>
        <bgColor indexed="64"/>
      </patternFill>
    </fill>
    <fill>
      <patternFill patternType="solid">
        <fgColor rgb="FFB7E0C3"/>
        <bgColor indexed="64"/>
      </patternFill>
    </fill>
    <fill>
      <patternFill patternType="solid">
        <fgColor rgb="FF92D1A3"/>
        <bgColor indexed="64"/>
      </patternFill>
    </fill>
    <fill>
      <patternFill patternType="solid">
        <fgColor rgb="FFCBE8D4"/>
        <bgColor indexed="64"/>
      </patternFill>
    </fill>
    <fill>
      <patternFill patternType="solid">
        <fgColor rgb="FFA1D7B0"/>
        <bgColor indexed="64"/>
      </patternFill>
    </fill>
    <fill>
      <patternFill patternType="solid">
        <fgColor rgb="FFB6E0C2"/>
        <bgColor indexed="64"/>
      </patternFill>
    </fill>
    <fill>
      <patternFill patternType="solid">
        <fgColor rgb="FF6FC386"/>
        <bgColor indexed="64"/>
      </patternFill>
    </fill>
    <fill>
      <patternFill patternType="solid">
        <fgColor rgb="FFA0D7AF"/>
        <bgColor indexed="64"/>
      </patternFill>
    </fill>
    <fill>
      <patternFill patternType="solid">
        <fgColor rgb="FF82CB96"/>
        <bgColor indexed="64"/>
      </patternFill>
    </fill>
    <fill>
      <patternFill patternType="solid">
        <fgColor rgb="FF76C68B"/>
        <bgColor indexed="64"/>
      </patternFill>
    </fill>
    <fill>
      <patternFill patternType="solid">
        <fgColor rgb="FFC1E4CC"/>
        <bgColor indexed="64"/>
      </patternFill>
    </fill>
    <fill>
      <patternFill patternType="solid">
        <fgColor rgb="FF8FD0A1"/>
        <bgColor indexed="64"/>
      </patternFill>
    </fill>
    <fill>
      <patternFill patternType="solid">
        <fgColor rgb="FF83CB96"/>
        <bgColor indexed="64"/>
      </patternFill>
    </fill>
    <fill>
      <patternFill patternType="solid">
        <fgColor rgb="FFC5E6D0"/>
        <bgColor indexed="64"/>
      </patternFill>
    </fill>
    <fill>
      <patternFill patternType="solid">
        <fgColor rgb="FFFAFCFD"/>
        <bgColor indexed="64"/>
      </patternFill>
    </fill>
    <fill>
      <patternFill patternType="solid">
        <fgColor rgb="FFADDCBB"/>
        <bgColor indexed="64"/>
      </patternFill>
    </fill>
    <fill>
      <patternFill patternType="solid">
        <fgColor rgb="FFCBE8D5"/>
        <bgColor indexed="64"/>
      </patternFill>
    </fill>
    <fill>
      <patternFill patternType="solid">
        <fgColor rgb="FF86CD9A"/>
        <bgColor indexed="64"/>
      </patternFill>
    </fill>
    <fill>
      <patternFill patternType="solid">
        <fgColor rgb="FFEFF7F4"/>
        <bgColor indexed="64"/>
      </patternFill>
    </fill>
    <fill>
      <patternFill patternType="solid">
        <fgColor rgb="FF79C78E"/>
        <bgColor indexed="64"/>
      </patternFill>
    </fill>
    <fill>
      <patternFill patternType="solid">
        <fgColor rgb="FFCCE9D6"/>
        <bgColor indexed="64"/>
      </patternFill>
    </fill>
    <fill>
      <patternFill patternType="solid">
        <fgColor rgb="FF7FCA94"/>
        <bgColor indexed="64"/>
      </patternFill>
    </fill>
    <fill>
      <patternFill patternType="solid">
        <fgColor rgb="FFBDE3C9"/>
        <bgColor indexed="64"/>
      </patternFill>
    </fill>
    <fill>
      <patternFill patternType="solid">
        <fgColor rgb="FF9CD6AD"/>
        <bgColor indexed="64"/>
      </patternFill>
    </fill>
    <fill>
      <patternFill patternType="solid">
        <fgColor rgb="FF7AC88F"/>
        <bgColor indexed="64"/>
      </patternFill>
    </fill>
    <fill>
      <patternFill patternType="solid">
        <fgColor rgb="FF8ED0A0"/>
        <bgColor indexed="64"/>
      </patternFill>
    </fill>
    <fill>
      <patternFill patternType="solid">
        <fgColor rgb="FF7AC78F"/>
        <bgColor indexed="64"/>
      </patternFill>
    </fill>
    <fill>
      <patternFill patternType="solid">
        <fgColor rgb="FFC2E5CD"/>
        <bgColor indexed="64"/>
      </patternFill>
    </fill>
    <fill>
      <patternFill patternType="solid">
        <fgColor rgb="FF72C588"/>
        <bgColor indexed="64"/>
      </patternFill>
    </fill>
    <fill>
      <patternFill patternType="solid">
        <fgColor rgb="FFAADBB8"/>
        <bgColor indexed="64"/>
      </patternFill>
    </fill>
    <fill>
      <patternFill patternType="solid">
        <fgColor rgb="FFAFDDBC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5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2" borderId="6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10" fontId="6" fillId="0" borderId="7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10" fontId="9" fillId="0" borderId="7" xfId="0" applyNumberFormat="1" applyFont="1" applyBorder="1" applyAlignment="1">
      <alignment horizontal="center" vertical="center" wrapText="1"/>
    </xf>
    <xf numFmtId="10" fontId="10" fillId="7" borderId="7" xfId="0" applyNumberFormat="1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0" fontId="9" fillId="13" borderId="7" xfId="0" applyFont="1" applyFill="1" applyBorder="1" applyAlignment="1">
      <alignment horizontal="center" vertical="center"/>
    </xf>
    <xf numFmtId="0" fontId="9" fillId="12" borderId="7" xfId="0" applyFont="1" applyFill="1" applyBorder="1" applyAlignment="1">
      <alignment horizontal="center" vertical="center"/>
    </xf>
    <xf numFmtId="0" fontId="9" fillId="11" borderId="7" xfId="0" applyFont="1" applyFill="1" applyBorder="1" applyAlignment="1">
      <alignment horizontal="center" vertical="center"/>
    </xf>
    <xf numFmtId="0" fontId="9" fillId="14" borderId="7" xfId="0" applyFont="1" applyFill="1" applyBorder="1" applyAlignment="1">
      <alignment horizontal="center" vertical="center"/>
    </xf>
    <xf numFmtId="0" fontId="6" fillId="15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16" borderId="7" xfId="0" applyFont="1" applyFill="1" applyBorder="1" applyAlignment="1">
      <alignment horizontal="center" vertical="center" wrapText="1"/>
    </xf>
    <xf numFmtId="0" fontId="6" fillId="17" borderId="7" xfId="0" applyFont="1" applyFill="1" applyBorder="1" applyAlignment="1">
      <alignment horizontal="center" vertical="center" wrapText="1"/>
    </xf>
    <xf numFmtId="0" fontId="6" fillId="18" borderId="7" xfId="0" applyFont="1" applyFill="1" applyBorder="1" applyAlignment="1">
      <alignment horizontal="center" vertical="center" wrapText="1"/>
    </xf>
    <xf numFmtId="0" fontId="6" fillId="19" borderId="7" xfId="0" applyFont="1" applyFill="1" applyBorder="1" applyAlignment="1">
      <alignment horizontal="center" vertical="center" wrapText="1"/>
    </xf>
    <xf numFmtId="0" fontId="6" fillId="20" borderId="7" xfId="0" applyFont="1" applyFill="1" applyBorder="1" applyAlignment="1">
      <alignment horizontal="center" vertical="center" wrapText="1"/>
    </xf>
    <xf numFmtId="0" fontId="6" fillId="21" borderId="7" xfId="0" applyFont="1" applyFill="1" applyBorder="1" applyAlignment="1">
      <alignment horizontal="center" vertical="center" wrapText="1"/>
    </xf>
    <xf numFmtId="0" fontId="6" fillId="22" borderId="7" xfId="0" applyFont="1" applyFill="1" applyBorder="1" applyAlignment="1">
      <alignment horizontal="center" vertical="center" wrapText="1"/>
    </xf>
    <xf numFmtId="0" fontId="6" fillId="23" borderId="7" xfId="0" applyFont="1" applyFill="1" applyBorder="1" applyAlignment="1">
      <alignment horizontal="center" vertical="center" wrapText="1"/>
    </xf>
    <xf numFmtId="0" fontId="6" fillId="24" borderId="7" xfId="0" applyFont="1" applyFill="1" applyBorder="1" applyAlignment="1">
      <alignment horizontal="center" vertical="center" wrapText="1"/>
    </xf>
    <xf numFmtId="0" fontId="6" fillId="25" borderId="7" xfId="0" applyFont="1" applyFill="1" applyBorder="1" applyAlignment="1">
      <alignment horizontal="center" vertical="center" wrapText="1"/>
    </xf>
    <xf numFmtId="0" fontId="6" fillId="26" borderId="7" xfId="0" applyFont="1" applyFill="1" applyBorder="1" applyAlignment="1">
      <alignment horizontal="center" vertical="center" wrapText="1"/>
    </xf>
    <xf numFmtId="0" fontId="6" fillId="27" borderId="7" xfId="0" applyFont="1" applyFill="1" applyBorder="1" applyAlignment="1">
      <alignment horizontal="center" vertical="center" wrapText="1"/>
    </xf>
    <xf numFmtId="0" fontId="6" fillId="28" borderId="7" xfId="0" applyFont="1" applyFill="1" applyBorder="1" applyAlignment="1">
      <alignment horizontal="center" vertical="center" wrapText="1"/>
    </xf>
    <xf numFmtId="0" fontId="6" fillId="29" borderId="7" xfId="0" applyFont="1" applyFill="1" applyBorder="1" applyAlignment="1">
      <alignment horizontal="center" vertical="center" wrapText="1"/>
    </xf>
    <xf numFmtId="0" fontId="6" fillId="30" borderId="7" xfId="0" applyFont="1" applyFill="1" applyBorder="1" applyAlignment="1">
      <alignment horizontal="center" vertical="center" wrapText="1"/>
    </xf>
    <xf numFmtId="0" fontId="6" fillId="31" borderId="7" xfId="0" applyFont="1" applyFill="1" applyBorder="1" applyAlignment="1">
      <alignment horizontal="center" vertical="center" wrapText="1"/>
    </xf>
    <xf numFmtId="0" fontId="6" fillId="32" borderId="7" xfId="0" applyFont="1" applyFill="1" applyBorder="1" applyAlignment="1">
      <alignment horizontal="center" vertical="center" wrapText="1"/>
    </xf>
    <xf numFmtId="0" fontId="6" fillId="33" borderId="7" xfId="0" applyFont="1" applyFill="1" applyBorder="1" applyAlignment="1">
      <alignment horizontal="center" vertical="center" wrapText="1"/>
    </xf>
    <xf numFmtId="0" fontId="6" fillId="34" borderId="7" xfId="0" applyFont="1" applyFill="1" applyBorder="1" applyAlignment="1">
      <alignment horizontal="center" vertical="center" wrapText="1"/>
    </xf>
    <xf numFmtId="0" fontId="6" fillId="35" borderId="7" xfId="0" applyFont="1" applyFill="1" applyBorder="1" applyAlignment="1">
      <alignment horizontal="center" vertical="center" wrapText="1"/>
    </xf>
    <xf numFmtId="0" fontId="6" fillId="36" borderId="7" xfId="0" applyFont="1" applyFill="1" applyBorder="1" applyAlignment="1">
      <alignment horizontal="center" vertical="center" wrapText="1"/>
    </xf>
    <xf numFmtId="0" fontId="6" fillId="37" borderId="7" xfId="0" applyFont="1" applyFill="1" applyBorder="1" applyAlignment="1">
      <alignment horizontal="center" vertical="center" wrapText="1"/>
    </xf>
    <xf numFmtId="0" fontId="6" fillId="38" borderId="7" xfId="0" applyFont="1" applyFill="1" applyBorder="1" applyAlignment="1">
      <alignment horizontal="center" vertical="center" wrapText="1"/>
    </xf>
    <xf numFmtId="0" fontId="6" fillId="39" borderId="7" xfId="0" applyFont="1" applyFill="1" applyBorder="1" applyAlignment="1">
      <alignment horizontal="center" vertical="center" wrapText="1"/>
    </xf>
    <xf numFmtId="0" fontId="6" fillId="40" borderId="7" xfId="0" applyFont="1" applyFill="1" applyBorder="1" applyAlignment="1">
      <alignment horizontal="center" vertical="center" wrapText="1"/>
    </xf>
    <xf numFmtId="0" fontId="6" fillId="41" borderId="7" xfId="0" applyFont="1" applyFill="1" applyBorder="1" applyAlignment="1">
      <alignment horizontal="center" vertical="center" wrapText="1"/>
    </xf>
    <xf numFmtId="0" fontId="6" fillId="42" borderId="7" xfId="0" applyFont="1" applyFill="1" applyBorder="1" applyAlignment="1">
      <alignment horizontal="center" vertical="center" wrapText="1"/>
    </xf>
    <xf numFmtId="0" fontId="6" fillId="43" borderId="7" xfId="0" applyFont="1" applyFill="1" applyBorder="1" applyAlignment="1">
      <alignment horizontal="center" vertical="center" wrapText="1"/>
    </xf>
    <xf numFmtId="0" fontId="6" fillId="44" borderId="7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45" borderId="7" xfId="0" applyFont="1" applyFill="1" applyBorder="1" applyAlignment="1">
      <alignment horizontal="center" vertical="center" wrapText="1"/>
    </xf>
    <xf numFmtId="0" fontId="6" fillId="46" borderId="7" xfId="0" applyFont="1" applyFill="1" applyBorder="1" applyAlignment="1">
      <alignment horizontal="center" vertical="center" wrapText="1"/>
    </xf>
    <xf numFmtId="0" fontId="6" fillId="47" borderId="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8" borderId="7" xfId="0" applyFont="1" applyFill="1" applyBorder="1" applyAlignment="1">
      <alignment horizontal="center" vertical="center" wrapText="1"/>
    </xf>
    <xf numFmtId="0" fontId="6" fillId="49" borderId="7" xfId="0" applyFont="1" applyFill="1" applyBorder="1" applyAlignment="1">
      <alignment horizontal="center" vertical="center" wrapText="1"/>
    </xf>
    <xf numFmtId="0" fontId="6" fillId="50" borderId="7" xfId="0" applyFont="1" applyFill="1" applyBorder="1" applyAlignment="1">
      <alignment horizontal="center" vertical="center" wrapText="1"/>
    </xf>
    <xf numFmtId="0" fontId="6" fillId="51" borderId="7" xfId="0" applyFont="1" applyFill="1" applyBorder="1" applyAlignment="1">
      <alignment horizontal="center" vertical="center" wrapText="1"/>
    </xf>
    <xf numFmtId="0" fontId="6" fillId="52" borderId="7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53" borderId="7" xfId="0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6" fillId="54" borderId="7" xfId="0" applyFont="1" applyFill="1" applyBorder="1" applyAlignment="1">
      <alignment horizontal="center" vertical="center" wrapText="1"/>
    </xf>
    <xf numFmtId="0" fontId="6" fillId="55" borderId="7" xfId="0" applyFont="1" applyFill="1" applyBorder="1" applyAlignment="1">
      <alignment horizontal="center" vertical="center" wrapText="1"/>
    </xf>
    <xf numFmtId="0" fontId="6" fillId="56" borderId="7" xfId="0" applyFont="1" applyFill="1" applyBorder="1" applyAlignment="1">
      <alignment horizontal="center" vertical="center" wrapText="1"/>
    </xf>
    <xf numFmtId="0" fontId="6" fillId="57" borderId="7" xfId="0" applyFont="1" applyFill="1" applyBorder="1" applyAlignment="1">
      <alignment horizontal="center" vertical="center" wrapText="1"/>
    </xf>
    <xf numFmtId="0" fontId="6" fillId="58" borderId="7" xfId="0" applyFont="1" applyFill="1" applyBorder="1" applyAlignment="1">
      <alignment horizontal="center" vertical="center" wrapText="1"/>
    </xf>
    <xf numFmtId="0" fontId="6" fillId="59" borderId="7" xfId="0" applyFont="1" applyFill="1" applyBorder="1" applyAlignment="1">
      <alignment horizontal="center" vertical="center" wrapText="1"/>
    </xf>
    <xf numFmtId="0" fontId="6" fillId="60" borderId="7" xfId="0" applyFont="1" applyFill="1" applyBorder="1" applyAlignment="1">
      <alignment horizontal="center" vertical="center" wrapText="1"/>
    </xf>
    <xf numFmtId="0" fontId="6" fillId="61" borderId="7" xfId="0" applyFont="1" applyFill="1" applyBorder="1" applyAlignment="1">
      <alignment horizontal="center" vertical="center" wrapText="1"/>
    </xf>
    <xf numFmtId="0" fontId="6" fillId="62" borderId="7" xfId="0" applyFont="1" applyFill="1" applyBorder="1" applyAlignment="1">
      <alignment horizontal="center" vertical="center" wrapText="1"/>
    </xf>
    <xf numFmtId="0" fontId="6" fillId="63" borderId="7" xfId="0" applyFont="1" applyFill="1" applyBorder="1" applyAlignment="1">
      <alignment horizontal="center" vertical="center" wrapText="1"/>
    </xf>
    <xf numFmtId="0" fontId="6" fillId="64" borderId="7" xfId="0" applyFont="1" applyFill="1" applyBorder="1" applyAlignment="1">
      <alignment horizontal="center" vertical="center" wrapText="1"/>
    </xf>
    <xf numFmtId="0" fontId="6" fillId="65" borderId="7" xfId="0" applyFont="1" applyFill="1" applyBorder="1" applyAlignment="1">
      <alignment horizontal="center" vertical="center" wrapText="1"/>
    </xf>
    <xf numFmtId="0" fontId="6" fillId="66" borderId="7" xfId="0" applyFont="1" applyFill="1" applyBorder="1" applyAlignment="1">
      <alignment horizontal="center" vertical="center" wrapText="1"/>
    </xf>
    <xf numFmtId="0" fontId="6" fillId="67" borderId="7" xfId="0" applyFont="1" applyFill="1" applyBorder="1" applyAlignment="1">
      <alignment horizontal="center" vertical="center" wrapText="1"/>
    </xf>
    <xf numFmtId="0" fontId="6" fillId="68" borderId="7" xfId="0" applyFont="1" applyFill="1" applyBorder="1" applyAlignment="1">
      <alignment horizontal="center" vertical="center" wrapText="1"/>
    </xf>
    <xf numFmtId="0" fontId="6" fillId="69" borderId="7" xfId="0" applyFont="1" applyFill="1" applyBorder="1" applyAlignment="1">
      <alignment horizontal="center" vertical="center" wrapText="1"/>
    </xf>
    <xf numFmtId="0" fontId="6" fillId="70" borderId="7" xfId="0" applyFont="1" applyFill="1" applyBorder="1" applyAlignment="1">
      <alignment horizontal="center" vertical="center" wrapText="1"/>
    </xf>
    <xf numFmtId="0" fontId="6" fillId="71" borderId="7" xfId="0" applyFont="1" applyFill="1" applyBorder="1" applyAlignment="1">
      <alignment horizontal="center" vertical="center" wrapText="1"/>
    </xf>
    <xf numFmtId="0" fontId="6" fillId="72" borderId="7" xfId="0" applyFont="1" applyFill="1" applyBorder="1" applyAlignment="1">
      <alignment horizontal="center" vertical="center" wrapText="1"/>
    </xf>
    <xf numFmtId="0" fontId="6" fillId="73" borderId="7" xfId="0" applyFont="1" applyFill="1" applyBorder="1" applyAlignment="1">
      <alignment horizontal="center" vertical="center" wrapText="1"/>
    </xf>
    <xf numFmtId="0" fontId="6" fillId="74" borderId="7" xfId="0" applyFont="1" applyFill="1" applyBorder="1" applyAlignment="1">
      <alignment horizontal="center" vertical="center" wrapText="1"/>
    </xf>
    <xf numFmtId="0" fontId="6" fillId="75" borderId="7" xfId="0" applyFont="1" applyFill="1" applyBorder="1" applyAlignment="1">
      <alignment horizontal="center" vertical="center" wrapText="1"/>
    </xf>
    <xf numFmtId="0" fontId="6" fillId="76" borderId="7" xfId="0" applyFont="1" applyFill="1" applyBorder="1" applyAlignment="1">
      <alignment horizontal="center" vertical="center" wrapText="1"/>
    </xf>
    <xf numFmtId="0" fontId="6" fillId="77" borderId="7" xfId="0" applyFont="1" applyFill="1" applyBorder="1" applyAlignment="1">
      <alignment horizontal="center" vertical="center" wrapText="1"/>
    </xf>
    <xf numFmtId="0" fontId="6" fillId="78" borderId="7" xfId="0" applyFont="1" applyFill="1" applyBorder="1" applyAlignment="1">
      <alignment horizontal="center" vertical="center" wrapText="1"/>
    </xf>
    <xf numFmtId="0" fontId="6" fillId="79" borderId="7" xfId="0" applyFont="1" applyFill="1" applyBorder="1" applyAlignment="1">
      <alignment horizontal="center" vertical="center" wrapText="1"/>
    </xf>
    <xf numFmtId="0" fontId="6" fillId="80" borderId="7" xfId="0" applyFont="1" applyFill="1" applyBorder="1" applyAlignment="1">
      <alignment horizontal="center" vertical="center" wrapText="1"/>
    </xf>
    <xf numFmtId="0" fontId="6" fillId="81" borderId="7" xfId="0" applyFont="1" applyFill="1" applyBorder="1" applyAlignment="1">
      <alignment horizontal="center" vertical="center" wrapText="1"/>
    </xf>
    <xf numFmtId="0" fontId="6" fillId="82" borderId="7" xfId="0" applyFont="1" applyFill="1" applyBorder="1" applyAlignment="1">
      <alignment horizontal="center" vertical="center" wrapText="1"/>
    </xf>
    <xf numFmtId="0" fontId="6" fillId="83" borderId="7" xfId="0" applyFont="1" applyFill="1" applyBorder="1" applyAlignment="1">
      <alignment horizontal="center" vertical="center" wrapText="1"/>
    </xf>
    <xf numFmtId="0" fontId="6" fillId="84" borderId="7" xfId="0" applyFont="1" applyFill="1" applyBorder="1" applyAlignment="1">
      <alignment horizontal="center" vertical="center" wrapText="1"/>
    </xf>
    <xf numFmtId="0" fontId="6" fillId="85" borderId="7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86" borderId="7" xfId="0" applyFont="1" applyFill="1" applyBorder="1" applyAlignment="1">
      <alignment horizontal="center" vertical="center" wrapText="1"/>
    </xf>
    <xf numFmtId="0" fontId="6" fillId="87" borderId="7" xfId="0" applyFont="1" applyFill="1" applyBorder="1" applyAlignment="1">
      <alignment horizontal="center" vertical="center" wrapText="1"/>
    </xf>
    <xf numFmtId="0" fontId="6" fillId="88" borderId="7" xfId="0" applyFont="1" applyFill="1" applyBorder="1" applyAlignment="1">
      <alignment horizontal="center" vertical="center" wrapText="1"/>
    </xf>
    <xf numFmtId="0" fontId="6" fillId="89" borderId="7" xfId="0" applyFont="1" applyFill="1" applyBorder="1" applyAlignment="1">
      <alignment horizontal="center" vertical="center" wrapText="1"/>
    </xf>
    <xf numFmtId="0" fontId="6" fillId="90" borderId="7" xfId="0" applyFont="1" applyFill="1" applyBorder="1" applyAlignment="1">
      <alignment horizontal="center" vertical="center" wrapText="1"/>
    </xf>
    <xf numFmtId="0" fontId="6" fillId="91" borderId="7" xfId="0" applyFont="1" applyFill="1" applyBorder="1" applyAlignment="1">
      <alignment horizontal="center" vertical="center" wrapText="1"/>
    </xf>
    <xf numFmtId="0" fontId="6" fillId="92" borderId="7" xfId="0" applyFont="1" applyFill="1" applyBorder="1" applyAlignment="1">
      <alignment horizontal="center" vertical="center" wrapText="1"/>
    </xf>
    <xf numFmtId="0" fontId="6" fillId="93" borderId="7" xfId="0" applyFont="1" applyFill="1" applyBorder="1" applyAlignment="1">
      <alignment horizontal="center" vertical="center" wrapText="1"/>
    </xf>
    <xf numFmtId="0" fontId="11" fillId="0" borderId="0" xfId="0" applyFont="1"/>
    <xf numFmtId="164" fontId="0" fillId="0" borderId="1" xfId="0" applyNumberFormat="1" applyBorder="1"/>
    <xf numFmtId="0" fontId="1" fillId="0" borderId="1" xfId="0" applyFont="1" applyBorder="1"/>
    <xf numFmtId="0" fontId="8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wrapText="1"/>
    </xf>
    <xf numFmtId="43" fontId="6" fillId="2" borderId="7" xfId="1" applyFont="1" applyFill="1" applyBorder="1" applyAlignment="1">
      <alignment wrapText="1"/>
    </xf>
    <xf numFmtId="0" fontId="12" fillId="0" borderId="5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/>
    </xf>
    <xf numFmtId="0" fontId="0" fillId="0" borderId="16" xfId="0" applyBorder="1" applyAlignment="1">
      <alignment horizontal="center" wrapText="1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AFDF9"/>
      <color rgb="FFE2F5DB"/>
      <color rgb="FFCCEE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428E6-688A-498A-A122-0992A2A6F303}">
  <dimension ref="A1:B9"/>
  <sheetViews>
    <sheetView workbookViewId="0">
      <selection activeCell="A20" sqref="A20"/>
    </sheetView>
  </sheetViews>
  <sheetFormatPr defaultRowHeight="14.25" x14ac:dyDescent="0.45"/>
  <cols>
    <col min="1" max="1" width="39.73046875" customWidth="1"/>
    <col min="2" max="2" width="5.46484375" bestFit="1" customWidth="1"/>
  </cols>
  <sheetData>
    <row r="1" spans="1:2" ht="14.65" thickBot="1" x14ac:dyDescent="0.5">
      <c r="A1" s="129" t="s">
        <v>380</v>
      </c>
      <c r="B1" s="129"/>
    </row>
    <row r="2" spans="1:2" ht="14.65" thickBot="1" x14ac:dyDescent="0.5">
      <c r="A2" s="120" t="s">
        <v>370</v>
      </c>
      <c r="B2" s="120" t="s">
        <v>371</v>
      </c>
    </row>
    <row r="3" spans="1:2" ht="27.75" x14ac:dyDescent="0.45">
      <c r="A3" s="121" t="s">
        <v>372</v>
      </c>
      <c r="B3" s="121">
        <v>100</v>
      </c>
    </row>
    <row r="4" spans="1:2" ht="43.9" x14ac:dyDescent="0.45">
      <c r="A4" s="121" t="s">
        <v>373</v>
      </c>
      <c r="B4" s="121">
        <v>0.9</v>
      </c>
    </row>
    <row r="5" spans="1:2" ht="43.9" x14ac:dyDescent="0.45">
      <c r="A5" s="121" t="s">
        <v>374</v>
      </c>
      <c r="B5" s="121" t="s">
        <v>375</v>
      </c>
    </row>
    <row r="6" spans="1:2" ht="16.149999999999999" x14ac:dyDescent="0.45">
      <c r="A6" s="121" t="s">
        <v>376</v>
      </c>
      <c r="B6" s="121">
        <v>15</v>
      </c>
    </row>
    <row r="7" spans="1:2" ht="16.149999999999999" x14ac:dyDescent="0.45">
      <c r="A7" s="121" t="s">
        <v>377</v>
      </c>
      <c r="B7" s="121">
        <v>20</v>
      </c>
    </row>
    <row r="8" spans="1:2" x14ac:dyDescent="0.45">
      <c r="A8" s="121" t="s">
        <v>378</v>
      </c>
      <c r="B8" s="121">
        <v>0.5</v>
      </c>
    </row>
    <row r="9" spans="1:2" ht="16.5" thickBot="1" x14ac:dyDescent="0.5">
      <c r="A9" s="122" t="s">
        <v>379</v>
      </c>
      <c r="B9" s="122">
        <v>0.5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AE80F-5277-4624-8A77-7EB082F36A4D}">
  <dimension ref="A1:E15"/>
  <sheetViews>
    <sheetView workbookViewId="0">
      <selection activeCell="H14" sqref="H14"/>
    </sheetView>
  </sheetViews>
  <sheetFormatPr defaultRowHeight="14.25" x14ac:dyDescent="0.45"/>
  <sheetData>
    <row r="1" spans="1:5" ht="14.65" thickBot="1" x14ac:dyDescent="0.5">
      <c r="A1" s="132" t="s">
        <v>391</v>
      </c>
      <c r="B1" s="132"/>
      <c r="C1" s="132"/>
      <c r="D1" s="132"/>
      <c r="E1" s="132"/>
    </row>
    <row r="2" spans="1:5" ht="27" x14ac:dyDescent="0.45">
      <c r="A2" s="130" t="s">
        <v>0</v>
      </c>
      <c r="B2" s="130" t="s">
        <v>381</v>
      </c>
      <c r="C2" s="123" t="s">
        <v>382</v>
      </c>
      <c r="D2" s="130" t="s">
        <v>384</v>
      </c>
      <c r="E2" s="130" t="s">
        <v>385</v>
      </c>
    </row>
    <row r="3" spans="1:5" ht="14.65" thickBot="1" x14ac:dyDescent="0.5">
      <c r="A3" s="131"/>
      <c r="B3" s="131"/>
      <c r="C3" s="124" t="s">
        <v>383</v>
      </c>
      <c r="D3" s="131"/>
      <c r="E3" s="131"/>
    </row>
    <row r="4" spans="1:5" x14ac:dyDescent="0.45">
      <c r="A4" s="125" t="s">
        <v>386</v>
      </c>
      <c r="B4" s="126">
        <v>200</v>
      </c>
      <c r="C4" s="126">
        <v>2</v>
      </c>
      <c r="D4" s="126">
        <v>30</v>
      </c>
      <c r="E4" s="126">
        <v>0</v>
      </c>
    </row>
    <row r="5" spans="1:5" x14ac:dyDescent="0.45">
      <c r="A5" s="125" t="s">
        <v>387</v>
      </c>
      <c r="B5" s="126">
        <v>400</v>
      </c>
      <c r="C5" s="126">
        <v>2</v>
      </c>
      <c r="D5" s="126">
        <v>10</v>
      </c>
      <c r="E5" s="126">
        <v>0</v>
      </c>
    </row>
    <row r="6" spans="1:5" ht="27" x14ac:dyDescent="0.45">
      <c r="A6" s="125" t="s">
        <v>388</v>
      </c>
      <c r="B6" s="126">
        <v>1000</v>
      </c>
      <c r="C6" s="126">
        <v>3</v>
      </c>
      <c r="D6" s="126">
        <v>12</v>
      </c>
      <c r="E6" s="126">
        <v>0</v>
      </c>
    </row>
    <row r="7" spans="1:5" ht="27" x14ac:dyDescent="0.45">
      <c r="A7" s="125" t="s">
        <v>389</v>
      </c>
      <c r="B7" s="126">
        <v>200</v>
      </c>
      <c r="C7" s="126">
        <v>3</v>
      </c>
      <c r="D7" s="126">
        <v>12</v>
      </c>
      <c r="E7" s="126">
        <v>0</v>
      </c>
    </row>
    <row r="8" spans="1:5" x14ac:dyDescent="0.45">
      <c r="A8" s="125" t="s">
        <v>6</v>
      </c>
      <c r="B8" s="126">
        <v>500</v>
      </c>
      <c r="C8" s="126">
        <v>3</v>
      </c>
      <c r="D8" s="126">
        <v>12</v>
      </c>
      <c r="E8" s="126">
        <v>0</v>
      </c>
    </row>
    <row r="9" spans="1:5" x14ac:dyDescent="0.45">
      <c r="A9" s="125" t="s">
        <v>390</v>
      </c>
      <c r="B9" s="126">
        <v>200</v>
      </c>
      <c r="C9" s="126">
        <v>3</v>
      </c>
      <c r="D9" s="126">
        <v>6</v>
      </c>
      <c r="E9" s="126">
        <v>0</v>
      </c>
    </row>
    <row r="10" spans="1:5" ht="27" x14ac:dyDescent="0.45">
      <c r="A10" s="125" t="s">
        <v>253</v>
      </c>
      <c r="B10" s="126">
        <v>1000</v>
      </c>
      <c r="C10" s="126">
        <v>3</v>
      </c>
      <c r="D10" s="126">
        <v>12</v>
      </c>
      <c r="E10" s="126">
        <v>1</v>
      </c>
    </row>
    <row r="11" spans="1:5" ht="27" x14ac:dyDescent="0.45">
      <c r="A11" s="125" t="s">
        <v>258</v>
      </c>
      <c r="B11" s="126">
        <v>200</v>
      </c>
      <c r="C11" s="126">
        <v>3</v>
      </c>
      <c r="D11" s="126">
        <v>12</v>
      </c>
      <c r="E11" s="126">
        <v>1</v>
      </c>
    </row>
    <row r="12" spans="1:5" ht="27" x14ac:dyDescent="0.45">
      <c r="A12" s="125" t="s">
        <v>263</v>
      </c>
      <c r="B12" s="126">
        <v>500</v>
      </c>
      <c r="C12" s="126">
        <v>3</v>
      </c>
      <c r="D12" s="126">
        <v>7</v>
      </c>
      <c r="E12" s="126">
        <v>3</v>
      </c>
    </row>
    <row r="13" spans="1:5" ht="27" x14ac:dyDescent="0.45">
      <c r="A13" s="125" t="s">
        <v>298</v>
      </c>
      <c r="B13" s="126">
        <v>1000</v>
      </c>
      <c r="C13" s="126">
        <v>3</v>
      </c>
      <c r="D13" s="126">
        <v>12</v>
      </c>
      <c r="E13" s="126">
        <v>1</v>
      </c>
    </row>
    <row r="14" spans="1:5" ht="27" x14ac:dyDescent="0.45">
      <c r="A14" s="125" t="s">
        <v>273</v>
      </c>
      <c r="B14" s="126">
        <v>1000</v>
      </c>
      <c r="C14" s="126">
        <v>3</v>
      </c>
      <c r="D14" s="126">
        <v>12</v>
      </c>
      <c r="E14" s="126">
        <v>1</v>
      </c>
    </row>
    <row r="15" spans="1:5" ht="27.4" thickBot="1" x14ac:dyDescent="0.5">
      <c r="A15" s="127" t="s">
        <v>278</v>
      </c>
      <c r="B15" s="128">
        <v>1000</v>
      </c>
      <c r="C15" s="128">
        <v>3</v>
      </c>
      <c r="D15" s="128">
        <v>12</v>
      </c>
      <c r="E15" s="128">
        <v>3</v>
      </c>
    </row>
  </sheetData>
  <mergeCells count="5">
    <mergeCell ref="A2:A3"/>
    <mergeCell ref="B2:B3"/>
    <mergeCell ref="D2:D3"/>
    <mergeCell ref="E2:E3"/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AE01A-1685-41A3-A6DC-F6CA7F185FF7}">
  <dimension ref="A1:H30"/>
  <sheetViews>
    <sheetView zoomScale="130" zoomScaleNormal="130" workbookViewId="0">
      <selection activeCell="I1" sqref="I1:O1048576"/>
    </sheetView>
  </sheetViews>
  <sheetFormatPr defaultRowHeight="14.25" x14ac:dyDescent="0.45"/>
  <cols>
    <col min="1" max="1" width="11.265625" bestFit="1" customWidth="1"/>
    <col min="2" max="2" width="16.6640625" style="1" customWidth="1"/>
    <col min="3" max="3" width="17.59765625" style="1" customWidth="1"/>
    <col min="4" max="4" width="18.06640625" style="1" customWidth="1"/>
    <col min="5" max="5" width="8.86328125" style="1"/>
    <col min="6" max="6" width="14.6640625" style="1" customWidth="1"/>
    <col min="7" max="7" width="15" style="1" customWidth="1"/>
    <col min="8" max="8" width="8.86328125" style="1"/>
  </cols>
  <sheetData>
    <row r="1" spans="1:7" x14ac:dyDescent="0.45">
      <c r="A1" s="133" t="s">
        <v>392</v>
      </c>
      <c r="B1" s="133"/>
      <c r="C1" s="133"/>
      <c r="D1" s="133"/>
      <c r="E1" s="133"/>
      <c r="F1" s="133"/>
      <c r="G1" s="133"/>
    </row>
    <row r="2" spans="1:7" ht="14.65" thickBot="1" x14ac:dyDescent="0.5">
      <c r="A2" s="134"/>
      <c r="B2" s="134"/>
      <c r="C2" s="134"/>
      <c r="D2" s="134"/>
      <c r="E2" s="134"/>
      <c r="F2" s="134"/>
      <c r="G2" s="134"/>
    </row>
    <row r="3" spans="1:7" ht="34.15" thickBot="1" x14ac:dyDescent="0.5">
      <c r="A3" s="17" t="s">
        <v>0</v>
      </c>
      <c r="B3" s="7" t="s">
        <v>24</v>
      </c>
      <c r="C3" s="7" t="s">
        <v>339</v>
      </c>
      <c r="D3" s="7" t="s">
        <v>1</v>
      </c>
      <c r="E3" s="7" t="s">
        <v>107</v>
      </c>
      <c r="F3" s="7" t="s">
        <v>318</v>
      </c>
      <c r="G3" s="7" t="s">
        <v>2</v>
      </c>
    </row>
    <row r="4" spans="1:7" ht="20.65" thickBot="1" x14ac:dyDescent="0.5">
      <c r="A4" s="18" t="s">
        <v>19</v>
      </c>
      <c r="B4" s="19" t="s">
        <v>89</v>
      </c>
      <c r="C4" s="19" t="s">
        <v>90</v>
      </c>
      <c r="D4" s="20">
        <v>0.1115</v>
      </c>
      <c r="E4" s="19" t="s">
        <v>91</v>
      </c>
      <c r="F4" s="19" t="s">
        <v>92</v>
      </c>
      <c r="G4" s="20">
        <v>1E-3</v>
      </c>
    </row>
    <row r="5" spans="1:7" ht="20.65" thickBot="1" x14ac:dyDescent="0.5">
      <c r="A5" s="18" t="s">
        <v>20</v>
      </c>
      <c r="B5" s="19" t="s">
        <v>93</v>
      </c>
      <c r="C5" s="19" t="s">
        <v>94</v>
      </c>
      <c r="D5" s="20">
        <v>7.4300000000000005E-2</v>
      </c>
      <c r="E5" s="19" t="s">
        <v>95</v>
      </c>
      <c r="F5" s="19" t="s">
        <v>96</v>
      </c>
      <c r="G5" s="20">
        <v>6.9999999999999999E-4</v>
      </c>
    </row>
    <row r="6" spans="1:7" ht="20.65" thickBot="1" x14ac:dyDescent="0.5">
      <c r="A6" s="18" t="s">
        <v>21</v>
      </c>
      <c r="B6" s="19" t="s">
        <v>97</v>
      </c>
      <c r="C6" s="19" t="s">
        <v>98</v>
      </c>
      <c r="D6" s="20">
        <v>0.31769999999999998</v>
      </c>
      <c r="E6" s="19" t="s">
        <v>99</v>
      </c>
      <c r="F6" s="19" t="s">
        <v>100</v>
      </c>
      <c r="G6" s="20">
        <v>1.9E-3</v>
      </c>
    </row>
    <row r="7" spans="1:7" ht="20.65" thickBot="1" x14ac:dyDescent="0.5">
      <c r="A7" s="18" t="s">
        <v>22</v>
      </c>
      <c r="B7" s="19" t="s">
        <v>340</v>
      </c>
      <c r="C7" s="19" t="s">
        <v>317</v>
      </c>
      <c r="D7" s="20">
        <v>3.6700000000000003E-2</v>
      </c>
      <c r="E7" s="19" t="s">
        <v>101</v>
      </c>
      <c r="F7" s="19" t="s">
        <v>102</v>
      </c>
      <c r="G7" s="20">
        <v>4.0000000000000002E-4</v>
      </c>
    </row>
    <row r="8" spans="1:7" ht="20.65" thickBot="1" x14ac:dyDescent="0.5">
      <c r="A8" s="18" t="s">
        <v>23</v>
      </c>
      <c r="B8" s="19" t="s">
        <v>103</v>
      </c>
      <c r="C8" s="19" t="s">
        <v>104</v>
      </c>
      <c r="D8" s="20">
        <v>0.1575</v>
      </c>
      <c r="E8" s="19" t="s">
        <v>105</v>
      </c>
      <c r="F8" s="19" t="s">
        <v>106</v>
      </c>
      <c r="G8" s="20">
        <v>2.3E-3</v>
      </c>
    </row>
    <row r="9" spans="1:7" ht="20.65" thickBot="1" x14ac:dyDescent="0.5">
      <c r="A9" s="18" t="s">
        <v>3</v>
      </c>
      <c r="B9" s="19" t="s">
        <v>25</v>
      </c>
      <c r="C9" s="19" t="s">
        <v>26</v>
      </c>
      <c r="D9" s="20">
        <v>0.33160000000000001</v>
      </c>
      <c r="E9" s="19" t="s">
        <v>27</v>
      </c>
      <c r="F9" s="19" t="s">
        <v>28</v>
      </c>
      <c r="G9" s="20">
        <v>2.8400000000000002E-2</v>
      </c>
    </row>
    <row r="10" spans="1:7" ht="20.65" thickBot="1" x14ac:dyDescent="0.5">
      <c r="A10" s="18" t="s">
        <v>4</v>
      </c>
      <c r="B10" s="19" t="s">
        <v>29</v>
      </c>
      <c r="C10" s="19" t="s">
        <v>30</v>
      </c>
      <c r="D10" s="20">
        <v>0.1081</v>
      </c>
      <c r="E10" s="19" t="s">
        <v>31</v>
      </c>
      <c r="F10" s="19" t="s">
        <v>32</v>
      </c>
      <c r="G10" s="20">
        <v>1.26E-2</v>
      </c>
    </row>
    <row r="11" spans="1:7" ht="20.65" thickBot="1" x14ac:dyDescent="0.5">
      <c r="A11" s="18" t="s">
        <v>5</v>
      </c>
      <c r="B11" s="19" t="s">
        <v>33</v>
      </c>
      <c r="C11" s="19" t="s">
        <v>34</v>
      </c>
      <c r="D11" s="20">
        <v>5.0299999999999997E-2</v>
      </c>
      <c r="E11" s="19" t="s">
        <v>35</v>
      </c>
      <c r="F11" s="19" t="s">
        <v>36</v>
      </c>
      <c r="G11" s="20">
        <v>5.7000000000000002E-3</v>
      </c>
    </row>
    <row r="12" spans="1:7" ht="20.65" thickBot="1" x14ac:dyDescent="0.5">
      <c r="A12" s="18" t="s">
        <v>6</v>
      </c>
      <c r="B12" s="19" t="s">
        <v>37</v>
      </c>
      <c r="C12" s="19" t="s">
        <v>38</v>
      </c>
      <c r="D12" s="21">
        <v>-0.28570000000000001</v>
      </c>
      <c r="E12" s="19" t="s">
        <v>39</v>
      </c>
      <c r="F12" s="19" t="s">
        <v>40</v>
      </c>
      <c r="G12" s="21">
        <v>-1.83E-2</v>
      </c>
    </row>
    <row r="13" spans="1:7" ht="20.65" thickBot="1" x14ac:dyDescent="0.5">
      <c r="A13" s="18" t="s">
        <v>7</v>
      </c>
      <c r="B13" s="19" t="s">
        <v>41</v>
      </c>
      <c r="C13" s="19" t="s">
        <v>42</v>
      </c>
      <c r="D13" s="20">
        <v>0.17130000000000001</v>
      </c>
      <c r="E13" s="19" t="s">
        <v>43</v>
      </c>
      <c r="F13" s="19" t="s">
        <v>44</v>
      </c>
      <c r="G13" s="20">
        <v>3.0999999999999999E-3</v>
      </c>
    </row>
    <row r="14" spans="1:7" ht="20.65" thickBot="1" x14ac:dyDescent="0.5">
      <c r="A14" s="18" t="s">
        <v>8</v>
      </c>
      <c r="B14" s="19" t="s">
        <v>45</v>
      </c>
      <c r="C14" s="19" t="s">
        <v>46</v>
      </c>
      <c r="D14" s="20">
        <v>0.43390000000000001</v>
      </c>
      <c r="E14" s="19" t="s">
        <v>47</v>
      </c>
      <c r="F14" s="19" t="s">
        <v>48</v>
      </c>
      <c r="G14" s="20">
        <v>0.24579999999999999</v>
      </c>
    </row>
    <row r="15" spans="1:7" ht="20.65" thickBot="1" x14ac:dyDescent="0.5">
      <c r="A15" s="18" t="s">
        <v>9</v>
      </c>
      <c r="B15" s="19" t="s">
        <v>49</v>
      </c>
      <c r="C15" s="19" t="s">
        <v>50</v>
      </c>
      <c r="D15" s="20">
        <v>0.52259999999999995</v>
      </c>
      <c r="E15" s="19" t="s">
        <v>51</v>
      </c>
      <c r="F15" s="19" t="s">
        <v>52</v>
      </c>
      <c r="G15" s="20">
        <v>3.0099999999999998E-2</v>
      </c>
    </row>
    <row r="16" spans="1:7" ht="14.65" thickBot="1" x14ac:dyDescent="0.5">
      <c r="A16" s="18" t="s">
        <v>10</v>
      </c>
      <c r="B16" s="19" t="s">
        <v>53</v>
      </c>
      <c r="C16" s="19" t="s">
        <v>54</v>
      </c>
      <c r="D16" s="20">
        <v>0.3921</v>
      </c>
      <c r="E16" s="19" t="s">
        <v>55</v>
      </c>
      <c r="F16" s="19" t="s">
        <v>56</v>
      </c>
      <c r="G16" s="20">
        <v>0.59019999999999995</v>
      </c>
    </row>
    <row r="17" spans="1:7" ht="14.65" thickBot="1" x14ac:dyDescent="0.5">
      <c r="A17" s="18" t="s">
        <v>11</v>
      </c>
      <c r="B17" s="19" t="s">
        <v>57</v>
      </c>
      <c r="C17" s="19" t="s">
        <v>58</v>
      </c>
      <c r="D17" s="20">
        <v>0.16089999999999999</v>
      </c>
      <c r="E17" s="19" t="s">
        <v>59</v>
      </c>
      <c r="F17" s="19" t="s">
        <v>60</v>
      </c>
      <c r="G17" s="20">
        <v>2.07E-2</v>
      </c>
    </row>
    <row r="18" spans="1:7" ht="20.65" thickBot="1" x14ac:dyDescent="0.5">
      <c r="A18" s="18" t="s">
        <v>12</v>
      </c>
      <c r="B18" s="19" t="s">
        <v>61</v>
      </c>
      <c r="C18" s="19" t="s">
        <v>62</v>
      </c>
      <c r="D18" s="20">
        <v>0.59219999999999995</v>
      </c>
      <c r="E18" s="19" t="s">
        <v>63</v>
      </c>
      <c r="F18" s="19" t="s">
        <v>64</v>
      </c>
      <c r="G18" s="20">
        <v>4.2900000000000001E-2</v>
      </c>
    </row>
    <row r="19" spans="1:7" ht="20.65" thickBot="1" x14ac:dyDescent="0.5">
      <c r="A19" s="18" t="s">
        <v>13</v>
      </c>
      <c r="B19" s="19" t="s">
        <v>65</v>
      </c>
      <c r="C19" s="19" t="s">
        <v>66</v>
      </c>
      <c r="D19" s="20">
        <v>0.22869999999999999</v>
      </c>
      <c r="E19" s="19" t="s">
        <v>67</v>
      </c>
      <c r="F19" s="19" t="s">
        <v>68</v>
      </c>
      <c r="G19" s="20">
        <v>4.8800000000000003E-2</v>
      </c>
    </row>
    <row r="20" spans="1:7" ht="20.65" thickBot="1" x14ac:dyDescent="0.5">
      <c r="A20" s="18" t="s">
        <v>14</v>
      </c>
      <c r="B20" s="19" t="s">
        <v>69</v>
      </c>
      <c r="C20" s="19" t="s">
        <v>70</v>
      </c>
      <c r="D20" s="20">
        <v>8.4699999999999998E-2</v>
      </c>
      <c r="E20" s="19" t="s">
        <v>71</v>
      </c>
      <c r="F20" s="19" t="s">
        <v>72</v>
      </c>
      <c r="G20" s="20">
        <v>1.72E-2</v>
      </c>
    </row>
    <row r="21" spans="1:7" ht="14.65" thickBot="1" x14ac:dyDescent="0.5">
      <c r="A21" s="18" t="s">
        <v>15</v>
      </c>
      <c r="B21" s="19" t="s">
        <v>73</v>
      </c>
      <c r="C21" s="19" t="s">
        <v>74</v>
      </c>
      <c r="D21" s="20">
        <v>0.54759999999999998</v>
      </c>
      <c r="E21" s="19" t="s">
        <v>75</v>
      </c>
      <c r="F21" s="19" t="s">
        <v>76</v>
      </c>
      <c r="G21" s="20">
        <v>0.1794</v>
      </c>
    </row>
    <row r="22" spans="1:7" ht="20.65" thickBot="1" x14ac:dyDescent="0.5">
      <c r="A22" s="18" t="s">
        <v>16</v>
      </c>
      <c r="B22" s="19" t="s">
        <v>77</v>
      </c>
      <c r="C22" s="19" t="s">
        <v>78</v>
      </c>
      <c r="D22" s="20">
        <v>0.19020000000000001</v>
      </c>
      <c r="E22" s="19" t="s">
        <v>79</v>
      </c>
      <c r="F22" s="19" t="s">
        <v>80</v>
      </c>
      <c r="G22" s="20">
        <v>2.8400000000000002E-2</v>
      </c>
    </row>
    <row r="23" spans="1:7" ht="20.65" thickBot="1" x14ac:dyDescent="0.5">
      <c r="A23" s="18" t="s">
        <v>17</v>
      </c>
      <c r="B23" s="19" t="s">
        <v>81</v>
      </c>
      <c r="C23" s="19" t="s">
        <v>82</v>
      </c>
      <c r="D23" s="20">
        <v>0.60560000000000003</v>
      </c>
      <c r="E23" s="19" t="s">
        <v>83</v>
      </c>
      <c r="F23" s="19" t="s">
        <v>84</v>
      </c>
      <c r="G23" s="20">
        <v>0.29520000000000002</v>
      </c>
    </row>
    <row r="24" spans="1:7" ht="14.65" thickBot="1" x14ac:dyDescent="0.5">
      <c r="A24" s="18" t="s">
        <v>18</v>
      </c>
      <c r="B24" s="19" t="s">
        <v>85</v>
      </c>
      <c r="C24" s="19" t="s">
        <v>86</v>
      </c>
      <c r="D24" s="20">
        <v>0.30330000000000001</v>
      </c>
      <c r="E24" s="19" t="s">
        <v>87</v>
      </c>
      <c r="F24" s="19" t="s">
        <v>88</v>
      </c>
      <c r="G24" s="20">
        <v>8.2199999999999995E-2</v>
      </c>
    </row>
    <row r="25" spans="1:7" ht="20.65" thickBot="1" x14ac:dyDescent="0.5">
      <c r="A25" s="18" t="s">
        <v>253</v>
      </c>
      <c r="B25" s="19" t="s">
        <v>254</v>
      </c>
      <c r="C25" s="19" t="s">
        <v>255</v>
      </c>
      <c r="D25" s="20">
        <v>5.5599999999999997E-2</v>
      </c>
      <c r="E25" s="19" t="s">
        <v>256</v>
      </c>
      <c r="F25" s="19" t="s">
        <v>257</v>
      </c>
      <c r="G25" s="20">
        <v>1.11E-2</v>
      </c>
    </row>
    <row r="26" spans="1:7" ht="20.65" thickBot="1" x14ac:dyDescent="0.5">
      <c r="A26" s="18" t="s">
        <v>258</v>
      </c>
      <c r="B26" s="19" t="s">
        <v>259</v>
      </c>
      <c r="C26" s="19" t="s">
        <v>260</v>
      </c>
      <c r="D26" s="20">
        <v>0.10630000000000001</v>
      </c>
      <c r="E26" s="19" t="s">
        <v>261</v>
      </c>
      <c r="F26" s="19" t="s">
        <v>262</v>
      </c>
      <c r="G26" s="20">
        <v>7.1999999999999998E-3</v>
      </c>
    </row>
    <row r="27" spans="1:7" ht="20.65" thickBot="1" x14ac:dyDescent="0.5">
      <c r="A27" s="18" t="s">
        <v>263</v>
      </c>
      <c r="B27" s="19" t="s">
        <v>264</v>
      </c>
      <c r="C27" s="19" t="s">
        <v>265</v>
      </c>
      <c r="D27" s="21">
        <v>-0.4506</v>
      </c>
      <c r="E27" s="19" t="s">
        <v>266</v>
      </c>
      <c r="F27" s="19" t="s">
        <v>267</v>
      </c>
      <c r="G27" s="21">
        <v>-2.6200000000000001E-2</v>
      </c>
    </row>
    <row r="28" spans="1:7" ht="20.65" thickBot="1" x14ac:dyDescent="0.5">
      <c r="A28" s="18" t="s">
        <v>298</v>
      </c>
      <c r="B28" s="19" t="s">
        <v>269</v>
      </c>
      <c r="C28" s="19" t="s">
        <v>270</v>
      </c>
      <c r="D28" s="20">
        <v>8.9499999999999996E-2</v>
      </c>
      <c r="E28" s="19" t="s">
        <v>271</v>
      </c>
      <c r="F28" s="19" t="s">
        <v>272</v>
      </c>
      <c r="G28" s="20">
        <v>1.8200000000000001E-2</v>
      </c>
    </row>
    <row r="29" spans="1:7" ht="20.65" thickBot="1" x14ac:dyDescent="0.5">
      <c r="A29" s="18" t="s">
        <v>273</v>
      </c>
      <c r="B29" s="19" t="s">
        <v>274</v>
      </c>
      <c r="C29" s="19" t="s">
        <v>275</v>
      </c>
      <c r="D29" s="20">
        <v>6.2600000000000003E-2</v>
      </c>
      <c r="E29" s="19" t="s">
        <v>276</v>
      </c>
      <c r="F29" s="19" t="s">
        <v>277</v>
      </c>
      <c r="G29" s="20">
        <v>2.8000000000000001E-2</v>
      </c>
    </row>
    <row r="30" spans="1:7" ht="20.65" thickBot="1" x14ac:dyDescent="0.5">
      <c r="A30" s="18" t="s">
        <v>278</v>
      </c>
      <c r="B30" s="19" t="s">
        <v>279</v>
      </c>
      <c r="C30" s="19" t="s">
        <v>280</v>
      </c>
      <c r="D30" s="20">
        <v>0.34139999999999998</v>
      </c>
      <c r="E30" s="19" t="s">
        <v>281</v>
      </c>
      <c r="F30" s="19" t="s">
        <v>282</v>
      </c>
      <c r="G30" s="20">
        <v>0.33289999999999997</v>
      </c>
    </row>
  </sheetData>
  <mergeCells count="1">
    <mergeCell ref="A1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76F9-D22A-437A-B9C9-897955B0FB9D}">
  <dimension ref="A1:G31"/>
  <sheetViews>
    <sheetView zoomScale="130" zoomScaleNormal="130" workbookViewId="0">
      <selection activeCell="J6" sqref="J6"/>
    </sheetView>
  </sheetViews>
  <sheetFormatPr defaultRowHeight="14.25" x14ac:dyDescent="0.45"/>
  <sheetData>
    <row r="1" spans="1:7" x14ac:dyDescent="0.45">
      <c r="A1" s="133" t="s">
        <v>393</v>
      </c>
      <c r="B1" s="133"/>
      <c r="C1" s="133"/>
      <c r="D1" s="133"/>
      <c r="E1" s="133"/>
      <c r="F1" s="133"/>
      <c r="G1" s="133"/>
    </row>
    <row r="2" spans="1:7" ht="14.65" thickBot="1" x14ac:dyDescent="0.5">
      <c r="A2" s="133"/>
      <c r="B2" s="133"/>
      <c r="C2" s="133"/>
      <c r="D2" s="133"/>
      <c r="E2" s="133"/>
      <c r="F2" s="133"/>
      <c r="G2" s="133"/>
    </row>
    <row r="3" spans="1:7" ht="14.65" thickBot="1" x14ac:dyDescent="0.5">
      <c r="B3" s="135" t="s">
        <v>314</v>
      </c>
      <c r="C3" s="136"/>
      <c r="D3" s="137"/>
      <c r="E3" s="135" t="s">
        <v>315</v>
      </c>
      <c r="F3" s="136"/>
      <c r="G3" s="137"/>
    </row>
    <row r="4" spans="1:7" ht="39.75" thickBot="1" x14ac:dyDescent="0.5">
      <c r="A4" s="8" t="s">
        <v>0</v>
      </c>
      <c r="B4" s="9" t="s">
        <v>209</v>
      </c>
      <c r="C4" s="9" t="s">
        <v>319</v>
      </c>
      <c r="D4" s="9" t="s">
        <v>341</v>
      </c>
      <c r="E4" s="9" t="s">
        <v>209</v>
      </c>
      <c r="F4" s="9" t="s">
        <v>319</v>
      </c>
      <c r="G4" s="9" t="s">
        <v>341</v>
      </c>
    </row>
    <row r="5" spans="1:7" ht="14.65" thickBot="1" x14ac:dyDescent="0.5">
      <c r="A5" s="5" t="s">
        <v>19</v>
      </c>
      <c r="B5" s="10">
        <v>0.68899999999999995</v>
      </c>
      <c r="C5" s="10">
        <v>0.63200000000000001</v>
      </c>
      <c r="D5" s="15">
        <v>8.1869999999999994</v>
      </c>
      <c r="E5" s="10">
        <v>0.749</v>
      </c>
      <c r="F5" s="10">
        <v>0.72</v>
      </c>
      <c r="G5" s="15">
        <v>3.855</v>
      </c>
    </row>
    <row r="6" spans="1:7" ht="14.65" thickBot="1" x14ac:dyDescent="0.5">
      <c r="A6" s="5" t="s">
        <v>20</v>
      </c>
      <c r="B6" s="10">
        <v>0.71899999999999997</v>
      </c>
      <c r="C6" s="10">
        <v>0.69199999999999995</v>
      </c>
      <c r="D6" s="15">
        <v>3.7589999999999999</v>
      </c>
      <c r="E6" s="10">
        <v>0.77200000000000002</v>
      </c>
      <c r="F6" s="10">
        <v>0.748</v>
      </c>
      <c r="G6" s="15">
        <v>3.0259999999999998</v>
      </c>
    </row>
    <row r="7" spans="1:7" ht="14.65" thickBot="1" x14ac:dyDescent="0.5">
      <c r="A7" s="5" t="s">
        <v>21</v>
      </c>
      <c r="B7" s="10">
        <v>0.48799999999999999</v>
      </c>
      <c r="C7" s="10">
        <v>0.47699999999999998</v>
      </c>
      <c r="D7" s="15">
        <v>2.286</v>
      </c>
      <c r="E7" s="10">
        <v>0.752</v>
      </c>
      <c r="F7" s="10">
        <v>0.72099999999999997</v>
      </c>
      <c r="G7" s="15">
        <v>4.165</v>
      </c>
    </row>
    <row r="8" spans="1:7" ht="14.65" thickBot="1" x14ac:dyDescent="0.5">
      <c r="A8" s="5" t="s">
        <v>22</v>
      </c>
      <c r="B8" s="10">
        <v>1.1719999999999999</v>
      </c>
      <c r="C8" s="10">
        <v>1.3779999999999999</v>
      </c>
      <c r="D8" s="22">
        <v>-17.55</v>
      </c>
      <c r="E8" s="10">
        <v>1.45</v>
      </c>
      <c r="F8" s="10">
        <v>1.7190000000000001</v>
      </c>
      <c r="G8" s="15">
        <v>-18.510999999999999</v>
      </c>
    </row>
    <row r="9" spans="1:7" ht="14.65" thickBot="1" x14ac:dyDescent="0.5">
      <c r="A9" s="5" t="s">
        <v>23</v>
      </c>
      <c r="B9" s="10">
        <v>1.266</v>
      </c>
      <c r="C9" s="10">
        <v>1.1839999999999999</v>
      </c>
      <c r="D9" s="15">
        <v>6.5369999999999999</v>
      </c>
      <c r="E9" s="10">
        <v>1.4450000000000001</v>
      </c>
      <c r="F9" s="10">
        <v>1.569</v>
      </c>
      <c r="G9" s="15">
        <v>-8.5329999999999995</v>
      </c>
    </row>
    <row r="10" spans="1:7" ht="14.65" thickBot="1" x14ac:dyDescent="0.5">
      <c r="A10" s="5" t="s">
        <v>3</v>
      </c>
      <c r="B10" s="10">
        <v>2.609</v>
      </c>
      <c r="C10" s="10">
        <v>1.6779999999999999</v>
      </c>
      <c r="D10" s="15">
        <v>35.688000000000002</v>
      </c>
      <c r="E10" s="10">
        <v>4.04</v>
      </c>
      <c r="F10" s="10">
        <v>3.835</v>
      </c>
      <c r="G10" s="15">
        <v>5.0720000000000001</v>
      </c>
    </row>
    <row r="11" spans="1:7" ht="14.65" thickBot="1" x14ac:dyDescent="0.5">
      <c r="A11" s="5" t="s">
        <v>4</v>
      </c>
      <c r="B11" s="10">
        <v>0.39100000000000001</v>
      </c>
      <c r="C11" s="10">
        <v>0.25</v>
      </c>
      <c r="D11" s="15">
        <v>35.942999999999998</v>
      </c>
      <c r="E11" s="10">
        <v>0.78900000000000003</v>
      </c>
      <c r="F11" s="10">
        <v>0.82299999999999995</v>
      </c>
      <c r="G11" s="15">
        <v>-4.3029999999999999</v>
      </c>
    </row>
    <row r="12" spans="1:7" ht="14.65" thickBot="1" x14ac:dyDescent="0.5">
      <c r="A12" s="5" t="s">
        <v>5</v>
      </c>
      <c r="B12" s="10">
        <v>2.86</v>
      </c>
      <c r="C12" s="10">
        <v>2.4729999999999999</v>
      </c>
      <c r="D12" s="15">
        <v>13.535</v>
      </c>
      <c r="E12" s="10">
        <v>3.931</v>
      </c>
      <c r="F12" s="10">
        <v>3.806</v>
      </c>
      <c r="G12" s="15">
        <v>3.2</v>
      </c>
    </row>
    <row r="13" spans="1:7" ht="14.65" thickBot="1" x14ac:dyDescent="0.5">
      <c r="A13" s="5" t="s">
        <v>6</v>
      </c>
      <c r="B13" s="10">
        <v>0.27300000000000002</v>
      </c>
      <c r="C13" s="10">
        <v>0.253</v>
      </c>
      <c r="D13" s="15">
        <v>7.4509999999999996</v>
      </c>
      <c r="E13" s="10">
        <v>1.98</v>
      </c>
      <c r="F13" s="10">
        <v>1.8720000000000001</v>
      </c>
      <c r="G13" s="15">
        <v>5.4960000000000004</v>
      </c>
    </row>
    <row r="14" spans="1:7" ht="14.65" thickBot="1" x14ac:dyDescent="0.5">
      <c r="A14" s="5" t="s">
        <v>7</v>
      </c>
      <c r="B14" s="10">
        <v>0.59099999999999997</v>
      </c>
      <c r="C14" s="10">
        <v>0.42899999999999999</v>
      </c>
      <c r="D14" s="15">
        <v>27.42</v>
      </c>
      <c r="E14" s="10">
        <v>0.72499999999999998</v>
      </c>
      <c r="F14" s="10">
        <v>0.72299999999999998</v>
      </c>
      <c r="G14" s="15">
        <v>0.23799999999999999</v>
      </c>
    </row>
    <row r="15" spans="1:7" ht="14.65" thickBot="1" x14ac:dyDescent="0.5">
      <c r="A15" s="5" t="s">
        <v>8</v>
      </c>
      <c r="B15" s="10">
        <v>3.8380000000000001</v>
      </c>
      <c r="C15" s="10">
        <v>2.31</v>
      </c>
      <c r="D15" s="15">
        <v>39.814</v>
      </c>
      <c r="E15" s="10">
        <v>6.9379999999999997</v>
      </c>
      <c r="F15" s="10">
        <v>6.6159999999999997</v>
      </c>
      <c r="G15" s="15">
        <v>4.6459999999999999</v>
      </c>
    </row>
    <row r="16" spans="1:7" ht="14.65" thickBot="1" x14ac:dyDescent="0.5">
      <c r="A16" s="5" t="s">
        <v>9</v>
      </c>
      <c r="B16" s="10">
        <v>0.36899999999999999</v>
      </c>
      <c r="C16" s="10">
        <v>0.29699999999999999</v>
      </c>
      <c r="D16" s="15">
        <v>19.417999999999999</v>
      </c>
      <c r="E16" s="10">
        <v>1.4119999999999999</v>
      </c>
      <c r="F16" s="10">
        <v>1.34</v>
      </c>
      <c r="G16" s="15">
        <v>5.0780000000000003</v>
      </c>
    </row>
    <row r="17" spans="1:7" ht="14.65" thickBot="1" x14ac:dyDescent="0.5">
      <c r="A17" s="5" t="s">
        <v>10</v>
      </c>
      <c r="B17" s="10">
        <v>0.48199999999999998</v>
      </c>
      <c r="C17" s="10">
        <v>0.11899999999999999</v>
      </c>
      <c r="D17" s="15">
        <v>75.216999999999999</v>
      </c>
      <c r="E17" s="10">
        <v>0.82699999999999996</v>
      </c>
      <c r="F17" s="10">
        <v>0.78100000000000003</v>
      </c>
      <c r="G17" s="15">
        <v>5.5609999999999999</v>
      </c>
    </row>
    <row r="18" spans="1:7" ht="14.65" thickBot="1" x14ac:dyDescent="0.5">
      <c r="A18" s="5" t="s">
        <v>11</v>
      </c>
      <c r="B18" s="10">
        <v>9.0999999999999998E-2</v>
      </c>
      <c r="C18" s="10">
        <v>0.14199999999999999</v>
      </c>
      <c r="D18" s="22">
        <v>-56.951999999999998</v>
      </c>
      <c r="E18" s="10">
        <v>0.82399999999999995</v>
      </c>
      <c r="F18" s="10">
        <v>1.0249999999999999</v>
      </c>
      <c r="G18" s="15">
        <v>-24.465</v>
      </c>
    </row>
    <row r="19" spans="1:7" ht="14.65" thickBot="1" x14ac:dyDescent="0.5">
      <c r="A19" s="5" t="s">
        <v>12</v>
      </c>
      <c r="B19" s="10">
        <v>0.6</v>
      </c>
      <c r="C19" s="10">
        <v>7.4999999999999997E-2</v>
      </c>
      <c r="D19" s="15">
        <v>87.465999999999994</v>
      </c>
      <c r="E19" s="10">
        <v>0.81599999999999995</v>
      </c>
      <c r="F19" s="10">
        <v>0.94899999999999995</v>
      </c>
      <c r="G19" s="15">
        <v>-16.414999999999999</v>
      </c>
    </row>
    <row r="20" spans="1:7" ht="14.65" thickBot="1" x14ac:dyDescent="0.5">
      <c r="A20" s="5" t="s">
        <v>13</v>
      </c>
      <c r="B20" s="10">
        <v>0.56000000000000005</v>
      </c>
      <c r="C20" s="10">
        <v>0.111</v>
      </c>
      <c r="D20" s="15">
        <v>80.114000000000004</v>
      </c>
      <c r="E20" s="10">
        <v>0.85399999999999998</v>
      </c>
      <c r="F20" s="10">
        <v>0.97299999999999998</v>
      </c>
      <c r="G20" s="15">
        <v>-13.896000000000001</v>
      </c>
    </row>
    <row r="21" spans="1:7" ht="14.65" thickBot="1" x14ac:dyDescent="0.5">
      <c r="A21" s="5" t="s">
        <v>14</v>
      </c>
      <c r="B21" s="10">
        <v>0.55700000000000005</v>
      </c>
      <c r="C21" s="10">
        <v>0.13100000000000001</v>
      </c>
      <c r="D21" s="15">
        <v>76.554000000000002</v>
      </c>
      <c r="E21" s="10">
        <v>0.84</v>
      </c>
      <c r="F21" s="10">
        <v>1.0049999999999999</v>
      </c>
      <c r="G21" s="15">
        <v>-19.652000000000001</v>
      </c>
    </row>
    <row r="22" spans="1:7" ht="14.65" thickBot="1" x14ac:dyDescent="0.5">
      <c r="A22" s="5" t="s">
        <v>15</v>
      </c>
      <c r="B22" s="10">
        <v>0.40600000000000003</v>
      </c>
      <c r="C22" s="10">
        <v>4.9000000000000002E-2</v>
      </c>
      <c r="D22" s="15">
        <v>87.968999999999994</v>
      </c>
      <c r="E22" s="10">
        <v>0.84099999999999997</v>
      </c>
      <c r="F22" s="10">
        <v>0.95399999999999996</v>
      </c>
      <c r="G22" s="15">
        <v>-13.446999999999999</v>
      </c>
    </row>
    <row r="23" spans="1:7" ht="14.65" thickBot="1" x14ac:dyDescent="0.5">
      <c r="A23" s="5" t="s">
        <v>16</v>
      </c>
      <c r="B23" s="10">
        <v>0.61899999999999999</v>
      </c>
      <c r="C23" s="10">
        <v>0.30499999999999999</v>
      </c>
      <c r="D23" s="15">
        <v>50.652000000000001</v>
      </c>
      <c r="E23" s="10">
        <v>0.89300000000000002</v>
      </c>
      <c r="F23" s="10">
        <v>0.999</v>
      </c>
      <c r="G23" s="15">
        <v>-11.942</v>
      </c>
    </row>
    <row r="24" spans="1:7" ht="14.65" thickBot="1" x14ac:dyDescent="0.5">
      <c r="A24" s="5" t="s">
        <v>17</v>
      </c>
      <c r="B24" s="10">
        <v>0.44500000000000001</v>
      </c>
      <c r="C24" s="10">
        <v>8.2000000000000003E-2</v>
      </c>
      <c r="D24" s="15">
        <v>81.658000000000001</v>
      </c>
      <c r="E24" s="10">
        <v>0.90800000000000003</v>
      </c>
      <c r="F24" s="10">
        <v>1.02</v>
      </c>
      <c r="G24" s="15">
        <v>-12.35</v>
      </c>
    </row>
    <row r="25" spans="1:7" ht="14.65" thickBot="1" x14ac:dyDescent="0.5">
      <c r="A25" s="5" t="s">
        <v>18</v>
      </c>
      <c r="B25" s="10">
        <v>0.33300000000000002</v>
      </c>
      <c r="C25" s="10">
        <v>5.6000000000000001E-2</v>
      </c>
      <c r="D25" s="15">
        <v>83.316000000000003</v>
      </c>
      <c r="E25" s="10">
        <v>0.88500000000000001</v>
      </c>
      <c r="F25" s="10">
        <v>0.82499999999999996</v>
      </c>
      <c r="G25" s="15">
        <v>6.8479999999999999</v>
      </c>
    </row>
    <row r="26" spans="1:7" ht="14.65" thickBot="1" x14ac:dyDescent="0.5">
      <c r="A26" s="5" t="s">
        <v>253</v>
      </c>
      <c r="B26" s="10">
        <v>3.03</v>
      </c>
      <c r="C26" s="10">
        <v>2.86</v>
      </c>
      <c r="D26" s="15">
        <v>5.61</v>
      </c>
      <c r="E26" s="10">
        <v>4.8739999999999997</v>
      </c>
      <c r="F26" s="10">
        <v>4.8739999999999997</v>
      </c>
      <c r="G26" s="15">
        <v>0</v>
      </c>
    </row>
    <row r="27" spans="1:7" ht="14.65" thickBot="1" x14ac:dyDescent="0.5">
      <c r="A27" s="5" t="s">
        <v>258</v>
      </c>
      <c r="B27" s="10">
        <v>0.47</v>
      </c>
      <c r="C27" s="10">
        <v>0.3</v>
      </c>
      <c r="D27" s="15">
        <v>36.17</v>
      </c>
      <c r="E27" s="10">
        <v>0.80900000000000005</v>
      </c>
      <c r="F27" s="10">
        <v>0.82499999999999996</v>
      </c>
      <c r="G27" s="15">
        <v>-2.044</v>
      </c>
    </row>
    <row r="28" spans="1:7" ht="14.65" thickBot="1" x14ac:dyDescent="0.5">
      <c r="A28" s="5" t="s">
        <v>263</v>
      </c>
      <c r="B28" s="10">
        <v>0.39</v>
      </c>
      <c r="C28" s="10">
        <v>0.35</v>
      </c>
      <c r="D28" s="15">
        <v>10.26</v>
      </c>
      <c r="E28" s="10">
        <v>2.1219999999999999</v>
      </c>
      <c r="F28" s="10">
        <v>2.1520000000000001</v>
      </c>
      <c r="G28" s="15">
        <v>-1.43</v>
      </c>
    </row>
    <row r="29" spans="1:7" ht="14.65" thickBot="1" x14ac:dyDescent="0.5">
      <c r="A29" s="5" t="s">
        <v>268</v>
      </c>
      <c r="B29" s="10">
        <v>1.61</v>
      </c>
      <c r="C29" s="10">
        <v>1.46</v>
      </c>
      <c r="D29" s="15">
        <v>9.32</v>
      </c>
      <c r="E29" s="10">
        <v>4.0359999999999996</v>
      </c>
      <c r="F29" s="10">
        <v>4.0789999999999997</v>
      </c>
      <c r="G29" s="15">
        <v>-1.0660000000000001</v>
      </c>
    </row>
    <row r="30" spans="1:7" ht="14.65" thickBot="1" x14ac:dyDescent="0.5">
      <c r="A30" s="5" t="s">
        <v>273</v>
      </c>
      <c r="B30" s="10">
        <v>2.73</v>
      </c>
      <c r="C30" s="10">
        <v>1.82</v>
      </c>
      <c r="D30" s="15">
        <v>33.33</v>
      </c>
      <c r="E30" s="10">
        <v>4.0270000000000001</v>
      </c>
      <c r="F30" s="10">
        <v>4.0049999999999999</v>
      </c>
      <c r="G30" s="15">
        <v>0.54900000000000004</v>
      </c>
    </row>
    <row r="31" spans="1:7" ht="14.65" thickBot="1" x14ac:dyDescent="0.5">
      <c r="A31" s="5" t="s">
        <v>278</v>
      </c>
      <c r="B31" s="10">
        <v>3.43</v>
      </c>
      <c r="C31" s="10">
        <v>2.87</v>
      </c>
      <c r="D31" s="15">
        <v>16.329999999999998</v>
      </c>
      <c r="E31" s="10">
        <v>4.3170000000000002</v>
      </c>
      <c r="F31" s="10">
        <v>4.3410000000000002</v>
      </c>
      <c r="G31" s="15">
        <v>-0.56799999999999995</v>
      </c>
    </row>
  </sheetData>
  <mergeCells count="3">
    <mergeCell ref="A1:G2"/>
    <mergeCell ref="B3:D3"/>
    <mergeCell ref="E3:G3"/>
  </mergeCells>
  <conditionalFormatting sqref="G5:G31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C6FAB-7700-4832-9A43-B2E189D8393F}">
  <dimension ref="A1:G32"/>
  <sheetViews>
    <sheetView zoomScaleNormal="100" workbookViewId="0">
      <selection activeCell="I1" sqref="I1:O1048576"/>
    </sheetView>
  </sheetViews>
  <sheetFormatPr defaultRowHeight="14.25" x14ac:dyDescent="0.45"/>
  <cols>
    <col min="2" max="2" width="14.46484375" bestFit="1" customWidth="1"/>
    <col min="3" max="5" width="13.796875" bestFit="1" customWidth="1"/>
    <col min="6" max="6" width="14.46484375" bestFit="1" customWidth="1"/>
    <col min="7" max="7" width="13.796875" bestFit="1" customWidth="1"/>
    <col min="10" max="10" width="7.46484375" bestFit="1" customWidth="1"/>
    <col min="11" max="11" width="14.6640625" customWidth="1"/>
    <col min="12" max="12" width="14.9296875" bestFit="1" customWidth="1"/>
    <col min="13" max="16" width="14.06640625" bestFit="1" customWidth="1"/>
  </cols>
  <sheetData>
    <row r="1" spans="1:7" x14ac:dyDescent="0.45">
      <c r="A1" s="133" t="s">
        <v>394</v>
      </c>
      <c r="B1" s="133"/>
      <c r="C1" s="133"/>
      <c r="D1" s="133"/>
      <c r="E1" s="133"/>
      <c r="F1" s="133"/>
      <c r="G1" s="133"/>
    </row>
    <row r="2" spans="1:7" x14ac:dyDescent="0.45">
      <c r="A2" s="133"/>
      <c r="B2" s="133"/>
      <c r="C2" s="133"/>
      <c r="D2" s="133"/>
      <c r="E2" s="133"/>
      <c r="F2" s="133"/>
      <c r="G2" s="133"/>
    </row>
    <row r="3" spans="1:7" ht="14.65" thickBot="1" x14ac:dyDescent="0.5">
      <c r="A3" s="134"/>
      <c r="B3" s="134"/>
      <c r="C3" s="134"/>
      <c r="D3" s="134"/>
      <c r="E3" s="134"/>
      <c r="F3" s="134"/>
      <c r="G3" s="134"/>
    </row>
    <row r="4" spans="1:7" ht="14.65" thickBot="1" x14ac:dyDescent="0.5">
      <c r="A4" s="138" t="s">
        <v>0</v>
      </c>
      <c r="B4" s="140" t="s">
        <v>339</v>
      </c>
      <c r="C4" s="141"/>
      <c r="D4" s="141"/>
      <c r="E4" s="141"/>
      <c r="F4" s="141"/>
      <c r="G4" s="142"/>
    </row>
    <row r="5" spans="1:7" ht="14.65" thickBot="1" x14ac:dyDescent="0.5">
      <c r="A5" s="139"/>
      <c r="B5" s="117" t="s">
        <v>110</v>
      </c>
      <c r="C5" s="3" t="s">
        <v>111</v>
      </c>
      <c r="D5" s="3" t="s">
        <v>208</v>
      </c>
      <c r="E5" s="3" t="s">
        <v>108</v>
      </c>
      <c r="F5" s="3" t="s">
        <v>109</v>
      </c>
      <c r="G5" s="3" t="s">
        <v>112</v>
      </c>
    </row>
    <row r="6" spans="1:7" ht="14.65" thickBot="1" x14ac:dyDescent="0.5">
      <c r="A6" s="18" t="s">
        <v>19</v>
      </c>
      <c r="B6" s="23" t="s">
        <v>90</v>
      </c>
      <c r="C6" s="24" t="s">
        <v>187</v>
      </c>
      <c r="D6" s="25" t="s">
        <v>188</v>
      </c>
      <c r="E6" s="26" t="s">
        <v>185</v>
      </c>
      <c r="F6" s="27" t="s">
        <v>186</v>
      </c>
      <c r="G6" s="28" t="s">
        <v>189</v>
      </c>
    </row>
    <row r="7" spans="1:7" ht="14.65" thickBot="1" x14ac:dyDescent="0.5">
      <c r="A7" s="18" t="s">
        <v>20</v>
      </c>
      <c r="B7" s="27" t="s">
        <v>94</v>
      </c>
      <c r="C7" s="25" t="s">
        <v>192</v>
      </c>
      <c r="D7" s="28" t="s">
        <v>193</v>
      </c>
      <c r="E7" s="26" t="s">
        <v>190</v>
      </c>
      <c r="F7" s="24" t="s">
        <v>191</v>
      </c>
      <c r="G7" s="23" t="s">
        <v>194</v>
      </c>
    </row>
    <row r="8" spans="1:7" ht="14.65" thickBot="1" x14ac:dyDescent="0.5">
      <c r="A8" s="18" t="s">
        <v>21</v>
      </c>
      <c r="B8" s="27" t="s">
        <v>98</v>
      </c>
      <c r="C8" s="24" t="s">
        <v>196</v>
      </c>
      <c r="D8" s="28" t="s">
        <v>197</v>
      </c>
      <c r="E8" s="26" t="s">
        <v>195</v>
      </c>
      <c r="F8" s="25" t="s">
        <v>342</v>
      </c>
      <c r="G8" s="23" t="s">
        <v>198</v>
      </c>
    </row>
    <row r="9" spans="1:7" ht="14.65" thickBot="1" x14ac:dyDescent="0.5">
      <c r="A9" s="18" t="s">
        <v>22</v>
      </c>
      <c r="B9" s="24" t="s">
        <v>317</v>
      </c>
      <c r="C9" s="27" t="s">
        <v>343</v>
      </c>
      <c r="D9" s="28" t="s">
        <v>201</v>
      </c>
      <c r="E9" s="26" t="s">
        <v>199</v>
      </c>
      <c r="F9" s="25" t="s">
        <v>200</v>
      </c>
      <c r="G9" s="23" t="s">
        <v>202</v>
      </c>
    </row>
    <row r="10" spans="1:7" ht="14.65" thickBot="1" x14ac:dyDescent="0.5">
      <c r="A10" s="5" t="s">
        <v>23</v>
      </c>
      <c r="B10" s="24" t="s">
        <v>104</v>
      </c>
      <c r="C10" s="25" t="s">
        <v>205</v>
      </c>
      <c r="D10" s="28" t="s">
        <v>206</v>
      </c>
      <c r="E10" s="26" t="s">
        <v>203</v>
      </c>
      <c r="F10" s="23" t="s">
        <v>204</v>
      </c>
      <c r="G10" s="27" t="s">
        <v>207</v>
      </c>
    </row>
    <row r="11" spans="1:7" ht="14.65" thickBot="1" x14ac:dyDescent="0.5">
      <c r="A11" s="5" t="s">
        <v>3</v>
      </c>
      <c r="B11" s="28" t="s">
        <v>26</v>
      </c>
      <c r="C11" s="25" t="s">
        <v>115</v>
      </c>
      <c r="D11" s="27" t="s">
        <v>344</v>
      </c>
      <c r="E11" s="24" t="s">
        <v>113</v>
      </c>
      <c r="F11" s="23" t="s">
        <v>114</v>
      </c>
      <c r="G11" s="26" t="s">
        <v>116</v>
      </c>
    </row>
    <row r="12" spans="1:7" ht="14.65" thickBot="1" x14ac:dyDescent="0.5">
      <c r="A12" s="5" t="s">
        <v>4</v>
      </c>
      <c r="B12" s="25" t="s">
        <v>30</v>
      </c>
      <c r="C12" s="27" t="s">
        <v>119</v>
      </c>
      <c r="D12" s="28" t="s">
        <v>120</v>
      </c>
      <c r="E12" s="24" t="s">
        <v>117</v>
      </c>
      <c r="F12" s="23" t="s">
        <v>118</v>
      </c>
      <c r="G12" s="26" t="s">
        <v>121</v>
      </c>
    </row>
    <row r="13" spans="1:7" ht="14.65" thickBot="1" x14ac:dyDescent="0.5">
      <c r="A13" s="5" t="s">
        <v>5</v>
      </c>
      <c r="B13" s="25" t="s">
        <v>34</v>
      </c>
      <c r="C13" s="27" t="s">
        <v>345</v>
      </c>
      <c r="D13" s="28" t="s">
        <v>124</v>
      </c>
      <c r="E13" s="26" t="s">
        <v>122</v>
      </c>
      <c r="F13" s="23" t="s">
        <v>123</v>
      </c>
      <c r="G13" s="24" t="s">
        <v>346</v>
      </c>
    </row>
    <row r="14" spans="1:7" ht="14.65" thickBot="1" x14ac:dyDescent="0.5">
      <c r="A14" s="5" t="s">
        <v>6</v>
      </c>
      <c r="B14" s="24" t="s">
        <v>38</v>
      </c>
      <c r="C14" s="27" t="s">
        <v>127</v>
      </c>
      <c r="D14" s="26" t="s">
        <v>128</v>
      </c>
      <c r="E14" s="28" t="s">
        <v>125</v>
      </c>
      <c r="F14" s="25" t="s">
        <v>126</v>
      </c>
      <c r="G14" s="23" t="s">
        <v>347</v>
      </c>
    </row>
    <row r="15" spans="1:7" ht="14.65" thickBot="1" x14ac:dyDescent="0.5">
      <c r="A15" s="5" t="s">
        <v>7</v>
      </c>
      <c r="B15" s="25" t="s">
        <v>42</v>
      </c>
      <c r="C15" s="27" t="s">
        <v>130</v>
      </c>
      <c r="D15" s="26" t="s">
        <v>131</v>
      </c>
      <c r="E15" s="24" t="s">
        <v>129</v>
      </c>
      <c r="F15" s="23" t="s">
        <v>348</v>
      </c>
      <c r="G15" s="28" t="s">
        <v>132</v>
      </c>
    </row>
    <row r="16" spans="1:7" ht="14.65" thickBot="1" x14ac:dyDescent="0.5">
      <c r="A16" s="5" t="s">
        <v>8</v>
      </c>
      <c r="B16" s="23" t="s">
        <v>46</v>
      </c>
      <c r="C16" s="27" t="s">
        <v>135</v>
      </c>
      <c r="D16" s="25" t="s">
        <v>136</v>
      </c>
      <c r="E16" s="28" t="s">
        <v>133</v>
      </c>
      <c r="F16" s="26" t="s">
        <v>134</v>
      </c>
      <c r="G16" s="24" t="s">
        <v>137</v>
      </c>
    </row>
    <row r="17" spans="1:7" ht="14.65" thickBot="1" x14ac:dyDescent="0.5">
      <c r="A17" s="5" t="s">
        <v>9</v>
      </c>
      <c r="B17" s="25" t="s">
        <v>50</v>
      </c>
      <c r="C17" s="24" t="s">
        <v>139</v>
      </c>
      <c r="D17" s="27" t="s">
        <v>140</v>
      </c>
      <c r="E17" s="28" t="s">
        <v>138</v>
      </c>
      <c r="F17" s="23" t="s">
        <v>349</v>
      </c>
      <c r="G17" s="26" t="s">
        <v>141</v>
      </c>
    </row>
    <row r="18" spans="1:7" ht="14.65" thickBot="1" x14ac:dyDescent="0.5">
      <c r="A18" s="5" t="s">
        <v>10</v>
      </c>
      <c r="B18" s="27" t="s">
        <v>54</v>
      </c>
      <c r="C18" s="24" t="s">
        <v>144</v>
      </c>
      <c r="D18" s="26" t="s">
        <v>145</v>
      </c>
      <c r="E18" s="28" t="s">
        <v>142</v>
      </c>
      <c r="F18" s="25" t="s">
        <v>143</v>
      </c>
      <c r="G18" s="23" t="s">
        <v>146</v>
      </c>
    </row>
    <row r="19" spans="1:7" ht="14.65" thickBot="1" x14ac:dyDescent="0.5">
      <c r="A19" s="5" t="s">
        <v>11</v>
      </c>
      <c r="B19" s="24" t="s">
        <v>58</v>
      </c>
      <c r="C19" s="27" t="s">
        <v>350</v>
      </c>
      <c r="D19" s="26" t="s">
        <v>149</v>
      </c>
      <c r="E19" s="28" t="s">
        <v>147</v>
      </c>
      <c r="F19" s="25" t="s">
        <v>148</v>
      </c>
      <c r="G19" s="23" t="s">
        <v>351</v>
      </c>
    </row>
    <row r="20" spans="1:7" ht="14.65" thickBot="1" x14ac:dyDescent="0.5">
      <c r="A20" s="5" t="s">
        <v>12</v>
      </c>
      <c r="B20" s="25" t="s">
        <v>62</v>
      </c>
      <c r="C20" s="27" t="s">
        <v>152</v>
      </c>
      <c r="D20" s="26" t="s">
        <v>153</v>
      </c>
      <c r="E20" s="24" t="s">
        <v>150</v>
      </c>
      <c r="F20" s="23" t="s">
        <v>151</v>
      </c>
      <c r="G20" s="28" t="s">
        <v>154</v>
      </c>
    </row>
    <row r="21" spans="1:7" ht="14.65" thickBot="1" x14ac:dyDescent="0.5">
      <c r="A21" s="5" t="s">
        <v>13</v>
      </c>
      <c r="B21" s="27" t="s">
        <v>66</v>
      </c>
      <c r="C21" s="28" t="s">
        <v>157</v>
      </c>
      <c r="D21" s="25" t="s">
        <v>158</v>
      </c>
      <c r="E21" s="24" t="s">
        <v>155</v>
      </c>
      <c r="F21" s="23" t="s">
        <v>156</v>
      </c>
      <c r="G21" s="26" t="s">
        <v>159</v>
      </c>
    </row>
    <row r="22" spans="1:7" ht="14.65" thickBot="1" x14ac:dyDescent="0.5">
      <c r="A22" s="5" t="s">
        <v>14</v>
      </c>
      <c r="B22" s="27" t="s">
        <v>70</v>
      </c>
      <c r="C22" s="25" t="s">
        <v>162</v>
      </c>
      <c r="D22" s="28" t="s">
        <v>163</v>
      </c>
      <c r="E22" s="24" t="s">
        <v>160</v>
      </c>
      <c r="F22" s="23" t="s">
        <v>161</v>
      </c>
      <c r="G22" s="26" t="s">
        <v>164</v>
      </c>
    </row>
    <row r="23" spans="1:7" ht="14.65" thickBot="1" x14ac:dyDescent="0.5">
      <c r="A23" s="5" t="s">
        <v>15</v>
      </c>
      <c r="B23" s="25" t="s">
        <v>74</v>
      </c>
      <c r="C23" s="23" t="s">
        <v>167</v>
      </c>
      <c r="D23" s="26" t="s">
        <v>168</v>
      </c>
      <c r="E23" s="24" t="s">
        <v>165</v>
      </c>
      <c r="F23" s="27" t="s">
        <v>166</v>
      </c>
      <c r="G23" s="28" t="s">
        <v>169</v>
      </c>
    </row>
    <row r="24" spans="1:7" ht="14.65" thickBot="1" x14ac:dyDescent="0.5">
      <c r="A24" s="5" t="s">
        <v>16</v>
      </c>
      <c r="B24" s="24" t="s">
        <v>78</v>
      </c>
      <c r="C24" s="23" t="s">
        <v>172</v>
      </c>
      <c r="D24" s="28" t="s">
        <v>173</v>
      </c>
      <c r="E24" s="26" t="s">
        <v>170</v>
      </c>
      <c r="F24" s="27" t="s">
        <v>171</v>
      </c>
      <c r="G24" s="25" t="s">
        <v>174</v>
      </c>
    </row>
    <row r="25" spans="1:7" ht="14.65" thickBot="1" x14ac:dyDescent="0.5">
      <c r="A25" s="5" t="s">
        <v>17</v>
      </c>
      <c r="B25" s="26" t="s">
        <v>82</v>
      </c>
      <c r="C25" s="27" t="s">
        <v>177</v>
      </c>
      <c r="D25" s="28" t="s">
        <v>178</v>
      </c>
      <c r="E25" s="23" t="s">
        <v>175</v>
      </c>
      <c r="F25" s="25" t="s">
        <v>176</v>
      </c>
      <c r="G25" s="24" t="s">
        <v>179</v>
      </c>
    </row>
    <row r="26" spans="1:7" ht="14.65" thickBot="1" x14ac:dyDescent="0.5">
      <c r="A26" s="5" t="s">
        <v>18</v>
      </c>
      <c r="B26" s="28" t="s">
        <v>86</v>
      </c>
      <c r="C26" s="23" t="s">
        <v>182</v>
      </c>
      <c r="D26" s="25" t="s">
        <v>183</v>
      </c>
      <c r="E26" s="24" t="s">
        <v>180</v>
      </c>
      <c r="F26" s="27" t="s">
        <v>181</v>
      </c>
      <c r="G26" s="26" t="s">
        <v>184</v>
      </c>
    </row>
    <row r="27" spans="1:7" ht="14.65" thickBot="1" x14ac:dyDescent="0.5">
      <c r="A27" s="5" t="s">
        <v>253</v>
      </c>
      <c r="B27" s="27" t="s">
        <v>255</v>
      </c>
      <c r="C27" s="23" t="s">
        <v>285</v>
      </c>
      <c r="D27" s="28" t="s">
        <v>286</v>
      </c>
      <c r="E27" s="26" t="s">
        <v>283</v>
      </c>
      <c r="F27" s="25" t="s">
        <v>284</v>
      </c>
      <c r="G27" s="24" t="s">
        <v>287</v>
      </c>
    </row>
    <row r="28" spans="1:7" ht="14.65" thickBot="1" x14ac:dyDescent="0.5">
      <c r="A28" s="5" t="s">
        <v>258</v>
      </c>
      <c r="B28" s="24" t="s">
        <v>260</v>
      </c>
      <c r="C28" s="27" t="s">
        <v>290</v>
      </c>
      <c r="D28" s="26" t="s">
        <v>291</v>
      </c>
      <c r="E28" s="25" t="s">
        <v>288</v>
      </c>
      <c r="F28" s="23" t="s">
        <v>289</v>
      </c>
      <c r="G28" s="28" t="s">
        <v>292</v>
      </c>
    </row>
    <row r="29" spans="1:7" ht="14.65" thickBot="1" x14ac:dyDescent="0.5">
      <c r="A29" s="5" t="s">
        <v>263</v>
      </c>
      <c r="B29" s="23" t="s">
        <v>265</v>
      </c>
      <c r="C29" s="25" t="s">
        <v>295</v>
      </c>
      <c r="D29" s="26" t="s">
        <v>296</v>
      </c>
      <c r="E29" s="24" t="s">
        <v>293</v>
      </c>
      <c r="F29" s="28" t="s">
        <v>294</v>
      </c>
      <c r="G29" s="27" t="s">
        <v>297</v>
      </c>
    </row>
    <row r="30" spans="1:7" ht="14.65" thickBot="1" x14ac:dyDescent="0.5">
      <c r="A30" s="5" t="s">
        <v>298</v>
      </c>
      <c r="B30" s="27" t="s">
        <v>270</v>
      </c>
      <c r="C30" s="24" t="s">
        <v>301</v>
      </c>
      <c r="D30" s="28" t="s">
        <v>302</v>
      </c>
      <c r="E30" s="26" t="s">
        <v>299</v>
      </c>
      <c r="F30" s="25" t="s">
        <v>300</v>
      </c>
      <c r="G30" s="23" t="s">
        <v>303</v>
      </c>
    </row>
    <row r="31" spans="1:7" ht="14.65" thickBot="1" x14ac:dyDescent="0.5">
      <c r="A31" s="5" t="s">
        <v>273</v>
      </c>
      <c r="B31" s="24" t="s">
        <v>275</v>
      </c>
      <c r="C31" s="23" t="s">
        <v>306</v>
      </c>
      <c r="D31" s="28" t="s">
        <v>307</v>
      </c>
      <c r="E31" s="26" t="s">
        <v>304</v>
      </c>
      <c r="F31" s="25" t="s">
        <v>305</v>
      </c>
      <c r="G31" s="27" t="s">
        <v>308</v>
      </c>
    </row>
    <row r="32" spans="1:7" ht="14.65" thickBot="1" x14ac:dyDescent="0.5">
      <c r="A32" s="5" t="s">
        <v>278</v>
      </c>
      <c r="B32" s="25" t="s">
        <v>280</v>
      </c>
      <c r="C32" s="28" t="s">
        <v>311</v>
      </c>
      <c r="D32" s="27" t="s">
        <v>312</v>
      </c>
      <c r="E32" s="24" t="s">
        <v>309</v>
      </c>
      <c r="F32" s="23" t="s">
        <v>310</v>
      </c>
      <c r="G32" s="26" t="s">
        <v>313</v>
      </c>
    </row>
  </sheetData>
  <mergeCells count="3">
    <mergeCell ref="A4:A5"/>
    <mergeCell ref="B4:G4"/>
    <mergeCell ref="A1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12532-B019-4A9B-B488-357225E58866}">
  <dimension ref="A1:G31"/>
  <sheetViews>
    <sheetView zoomScaleNormal="100" workbookViewId="0">
      <selection activeCell="I12" sqref="I12"/>
    </sheetView>
  </sheetViews>
  <sheetFormatPr defaultRowHeight="14.25" x14ac:dyDescent="0.45"/>
  <cols>
    <col min="9" max="9" width="7.46484375" bestFit="1" customWidth="1"/>
    <col min="10" max="10" width="14.6640625" customWidth="1"/>
    <col min="11" max="11" width="14.9296875" bestFit="1" customWidth="1"/>
    <col min="12" max="15" width="14.06640625" bestFit="1" customWidth="1"/>
  </cols>
  <sheetData>
    <row r="1" spans="1:7" x14ac:dyDescent="0.45">
      <c r="A1" s="133" t="s">
        <v>395</v>
      </c>
      <c r="B1" s="133"/>
      <c r="C1" s="133"/>
      <c r="D1" s="133"/>
      <c r="E1" s="133"/>
      <c r="F1" s="133"/>
      <c r="G1" s="133"/>
    </row>
    <row r="2" spans="1:7" x14ac:dyDescent="0.45">
      <c r="A2" s="133"/>
      <c r="B2" s="133"/>
      <c r="C2" s="133"/>
      <c r="D2" s="133"/>
      <c r="E2" s="133"/>
      <c r="F2" s="133"/>
      <c r="G2" s="133"/>
    </row>
    <row r="3" spans="1:7" ht="14.65" thickBot="1" x14ac:dyDescent="0.5">
      <c r="A3" s="134"/>
      <c r="B3" s="134"/>
      <c r="C3" s="134"/>
      <c r="D3" s="134"/>
      <c r="E3" s="134"/>
      <c r="F3" s="134"/>
      <c r="G3" s="134"/>
    </row>
    <row r="4" spans="1:7" ht="38.65" thickBot="1" x14ac:dyDescent="0.5">
      <c r="A4" s="4" t="s">
        <v>0</v>
      </c>
      <c r="B4" s="3" t="s">
        <v>364</v>
      </c>
      <c r="C4" s="3" t="s">
        <v>365</v>
      </c>
      <c r="D4" s="3" t="s">
        <v>366</v>
      </c>
      <c r="E4" s="3" t="s">
        <v>367</v>
      </c>
      <c r="F4" s="3" t="s">
        <v>368</v>
      </c>
      <c r="G4" s="3" t="s">
        <v>369</v>
      </c>
    </row>
    <row r="5" spans="1:7" ht="14.65" thickBot="1" x14ac:dyDescent="0.5">
      <c r="A5" s="6" t="s">
        <v>227</v>
      </c>
      <c r="B5" s="29">
        <v>8.1869999999999994</v>
      </c>
      <c r="C5" s="30">
        <v>44.256</v>
      </c>
      <c r="D5" s="31">
        <v>32.088999999999999</v>
      </c>
      <c r="E5" s="22">
        <v>-9.7690000000000001</v>
      </c>
      <c r="F5" s="22">
        <v>-23.367999999999999</v>
      </c>
      <c r="G5" s="32">
        <v>18.635000000000002</v>
      </c>
    </row>
    <row r="6" spans="1:7" ht="14.65" thickBot="1" x14ac:dyDescent="0.5">
      <c r="A6" s="6" t="s">
        <v>228</v>
      </c>
      <c r="B6" s="33">
        <v>3.7589999999999999</v>
      </c>
      <c r="C6" s="30">
        <v>43.162999999999997</v>
      </c>
      <c r="D6" s="34">
        <v>31.038</v>
      </c>
      <c r="E6" s="22">
        <v>-7.367</v>
      </c>
      <c r="F6" s="22">
        <v>-33.095999999999997</v>
      </c>
      <c r="G6" s="35">
        <v>4.0579999999999998</v>
      </c>
    </row>
    <row r="7" spans="1:7" ht="14.65" thickBot="1" x14ac:dyDescent="0.5">
      <c r="A7" s="6" t="s">
        <v>229</v>
      </c>
      <c r="B7" s="36">
        <v>2.286</v>
      </c>
      <c r="C7" s="30">
        <v>33.401000000000003</v>
      </c>
      <c r="D7" s="37">
        <v>12.179</v>
      </c>
      <c r="E7" s="22">
        <v>-24.984999999999999</v>
      </c>
      <c r="F7" s="22">
        <v>-29.591000000000001</v>
      </c>
      <c r="G7" s="38">
        <v>6.1970000000000001</v>
      </c>
    </row>
    <row r="8" spans="1:7" ht="14.65" thickBot="1" x14ac:dyDescent="0.5">
      <c r="A8" s="6" t="s">
        <v>230</v>
      </c>
      <c r="B8" s="22">
        <v>-17.55</v>
      </c>
      <c r="C8" s="30">
        <v>15.935</v>
      </c>
      <c r="D8" s="39">
        <v>9.2330000000000005</v>
      </c>
      <c r="E8" s="22">
        <v>-17.568999999999999</v>
      </c>
      <c r="F8" s="22">
        <v>-41.915999999999997</v>
      </c>
      <c r="G8" s="22">
        <v>-23.786000000000001</v>
      </c>
    </row>
    <row r="9" spans="1:7" ht="14.65" thickBot="1" x14ac:dyDescent="0.5">
      <c r="A9" s="6" t="s">
        <v>231</v>
      </c>
      <c r="B9" s="40">
        <v>6.5369999999999999</v>
      </c>
      <c r="C9" s="30">
        <v>83.768000000000001</v>
      </c>
      <c r="D9" s="41">
        <v>81.325000000000003</v>
      </c>
      <c r="E9" s="22">
        <v>-15.426</v>
      </c>
      <c r="F9" s="22">
        <v>-21.856999999999999</v>
      </c>
      <c r="G9" s="42">
        <v>17.594999999999999</v>
      </c>
    </row>
    <row r="10" spans="1:7" ht="14.65" thickBot="1" x14ac:dyDescent="0.5">
      <c r="A10" s="6" t="s">
        <v>211</v>
      </c>
      <c r="B10" s="30">
        <v>35.688000000000002</v>
      </c>
      <c r="C10" s="43">
        <v>5.5E-2</v>
      </c>
      <c r="D10" s="22">
        <v>-6.4080000000000004</v>
      </c>
      <c r="E10" s="22">
        <v>-60.658999999999999</v>
      </c>
      <c r="F10" s="44">
        <v>13.143000000000001</v>
      </c>
      <c r="G10" s="45">
        <v>31.010999999999999</v>
      </c>
    </row>
    <row r="11" spans="1:7" ht="14.65" thickBot="1" x14ac:dyDescent="0.5">
      <c r="A11" s="6" t="s">
        <v>212</v>
      </c>
      <c r="B11" s="46">
        <v>35.942999999999998</v>
      </c>
      <c r="C11" s="34">
        <v>42.381999999999998</v>
      </c>
      <c r="D11" s="30">
        <v>53.106999999999999</v>
      </c>
      <c r="E11" s="22">
        <v>-14.804</v>
      </c>
      <c r="F11" s="47">
        <v>7.9459999999999997</v>
      </c>
      <c r="G11" s="48">
        <v>50.426000000000002</v>
      </c>
    </row>
    <row r="12" spans="1:7" ht="14.65" thickBot="1" x14ac:dyDescent="0.5">
      <c r="A12" s="6" t="s">
        <v>213</v>
      </c>
      <c r="B12" s="49">
        <v>13.535</v>
      </c>
      <c r="C12" s="30">
        <v>25.67</v>
      </c>
      <c r="D12" s="50">
        <v>12.363</v>
      </c>
      <c r="E12" s="22">
        <v>-39.256999999999998</v>
      </c>
      <c r="F12" s="22">
        <v>-30.863</v>
      </c>
      <c r="G12" s="22">
        <v>-4.3070000000000004</v>
      </c>
    </row>
    <row r="13" spans="1:7" ht="14.65" thickBot="1" x14ac:dyDescent="0.5">
      <c r="A13" s="6" t="s">
        <v>214</v>
      </c>
      <c r="B13" s="51">
        <v>7.4509999999999996</v>
      </c>
      <c r="C13" s="52">
        <v>65.277000000000001</v>
      </c>
      <c r="D13" s="30">
        <v>69.058999999999997</v>
      </c>
      <c r="E13" s="50">
        <v>40.682000000000002</v>
      </c>
      <c r="F13" s="22">
        <v>-66.84</v>
      </c>
      <c r="G13" s="53">
        <v>38.295000000000002</v>
      </c>
    </row>
    <row r="14" spans="1:7" ht="14.65" thickBot="1" x14ac:dyDescent="0.5">
      <c r="A14" s="6" t="s">
        <v>215</v>
      </c>
      <c r="B14" s="54">
        <v>27.42</v>
      </c>
      <c r="C14" s="49">
        <v>37.856000000000002</v>
      </c>
      <c r="D14" s="30">
        <v>46.875</v>
      </c>
      <c r="E14" s="22">
        <v>-0.877</v>
      </c>
      <c r="F14" s="55">
        <v>4.08</v>
      </c>
      <c r="G14" s="56">
        <v>42.591999999999999</v>
      </c>
    </row>
    <row r="15" spans="1:7" ht="14.65" thickBot="1" x14ac:dyDescent="0.5">
      <c r="A15" s="6" t="s">
        <v>216</v>
      </c>
      <c r="B15" s="57">
        <v>39.814</v>
      </c>
      <c r="C15" s="30">
        <v>96.695999999999998</v>
      </c>
      <c r="D15" s="58">
        <v>95.784000000000006</v>
      </c>
      <c r="E15" s="59">
        <v>89.77</v>
      </c>
      <c r="F15" s="60">
        <v>32.295999999999999</v>
      </c>
      <c r="G15" s="61">
        <v>59.606999999999999</v>
      </c>
    </row>
    <row r="16" spans="1:7" ht="14.65" thickBot="1" x14ac:dyDescent="0.5">
      <c r="A16" s="6" t="s">
        <v>217</v>
      </c>
      <c r="B16" s="62">
        <v>19.417999999999999</v>
      </c>
      <c r="C16" s="30">
        <v>56.780999999999999</v>
      </c>
      <c r="D16" s="45">
        <v>53.853000000000002</v>
      </c>
      <c r="E16" s="63">
        <v>30.315999999999999</v>
      </c>
      <c r="F16" s="22">
        <v>-5.2999999999999999E-2</v>
      </c>
      <c r="G16" s="64">
        <v>38.584000000000003</v>
      </c>
    </row>
    <row r="17" spans="1:7" ht="14.65" thickBot="1" x14ac:dyDescent="0.5">
      <c r="A17" s="6" t="s">
        <v>218</v>
      </c>
      <c r="B17" s="65">
        <v>75.216999999999999</v>
      </c>
      <c r="C17" s="66">
        <v>98.05</v>
      </c>
      <c r="D17" s="30">
        <v>98.2</v>
      </c>
      <c r="E17" s="67">
        <v>97.513000000000005</v>
      </c>
      <c r="F17" s="60">
        <v>64.316999999999993</v>
      </c>
      <c r="G17" s="68">
        <v>71.406000000000006</v>
      </c>
    </row>
    <row r="18" spans="1:7" ht="14.65" thickBot="1" x14ac:dyDescent="0.5">
      <c r="A18" s="6" t="s">
        <v>219</v>
      </c>
      <c r="B18" s="22">
        <v>-56.951999999999998</v>
      </c>
      <c r="C18" s="69">
        <v>45.033999999999999</v>
      </c>
      <c r="D18" s="30">
        <v>52.22</v>
      </c>
      <c r="E18" s="70">
        <v>13.385999999999999</v>
      </c>
      <c r="F18" s="22">
        <v>-78.343999999999994</v>
      </c>
      <c r="G18" s="71">
        <v>16.911999999999999</v>
      </c>
    </row>
    <row r="19" spans="1:7" ht="14.65" thickBot="1" x14ac:dyDescent="0.5">
      <c r="A19" s="6" t="s">
        <v>220</v>
      </c>
      <c r="B19" s="72">
        <v>87.465999999999994</v>
      </c>
      <c r="C19" s="73">
        <v>88.17</v>
      </c>
      <c r="D19" s="30">
        <v>89.774000000000001</v>
      </c>
      <c r="E19" s="74">
        <v>87.221000000000004</v>
      </c>
      <c r="F19" s="60">
        <v>83.183999999999997</v>
      </c>
      <c r="G19" s="75">
        <v>87.29</v>
      </c>
    </row>
    <row r="20" spans="1:7" ht="14.65" thickBot="1" x14ac:dyDescent="0.5">
      <c r="A20" s="6" t="s">
        <v>221</v>
      </c>
      <c r="B20" s="76">
        <v>80.114000000000004</v>
      </c>
      <c r="C20" s="69">
        <v>88.366</v>
      </c>
      <c r="D20" s="30">
        <v>89.165999999999997</v>
      </c>
      <c r="E20" s="77">
        <v>77.947999999999993</v>
      </c>
      <c r="F20" s="60">
        <v>74.138999999999996</v>
      </c>
      <c r="G20" s="78">
        <v>84.287000000000006</v>
      </c>
    </row>
    <row r="21" spans="1:7" ht="14.65" thickBot="1" x14ac:dyDescent="0.5">
      <c r="A21" s="6" t="s">
        <v>222</v>
      </c>
      <c r="B21" s="79">
        <v>76.554000000000002</v>
      </c>
      <c r="C21" s="56">
        <v>85.298000000000002</v>
      </c>
      <c r="D21" s="30">
        <v>87.102999999999994</v>
      </c>
      <c r="E21" s="80">
        <v>69.52</v>
      </c>
      <c r="F21" s="60">
        <v>66.066999999999993</v>
      </c>
      <c r="G21" s="81">
        <v>82.019000000000005</v>
      </c>
    </row>
    <row r="22" spans="1:7" ht="14.65" thickBot="1" x14ac:dyDescent="0.5">
      <c r="A22" s="6" t="s">
        <v>223</v>
      </c>
      <c r="B22" s="82">
        <v>87.968999999999994</v>
      </c>
      <c r="C22" s="39">
        <v>91.396000000000001</v>
      </c>
      <c r="D22" s="30">
        <v>92.320999999999998</v>
      </c>
      <c r="E22" s="83">
        <v>87.948999999999998</v>
      </c>
      <c r="F22" s="60">
        <v>84.281999999999996</v>
      </c>
      <c r="G22" s="84">
        <v>89.893000000000001</v>
      </c>
    </row>
    <row r="23" spans="1:7" ht="14.65" thickBot="1" x14ac:dyDescent="0.5">
      <c r="A23" s="6" t="s">
        <v>224</v>
      </c>
      <c r="B23" s="85">
        <v>50.652000000000001</v>
      </c>
      <c r="C23" s="30">
        <v>76.629000000000005</v>
      </c>
      <c r="D23" s="67">
        <v>75.769000000000005</v>
      </c>
      <c r="E23" s="86">
        <v>61.167999999999999</v>
      </c>
      <c r="F23" s="60">
        <v>38.100999999999999</v>
      </c>
      <c r="G23" s="87">
        <v>55.927</v>
      </c>
    </row>
    <row r="24" spans="1:7" ht="14.65" thickBot="1" x14ac:dyDescent="0.5">
      <c r="A24" s="6" t="s">
        <v>225</v>
      </c>
      <c r="B24" s="82">
        <v>81.658000000000001</v>
      </c>
      <c r="C24" s="88">
        <v>85.242000000000004</v>
      </c>
      <c r="D24" s="44">
        <v>84.028000000000006</v>
      </c>
      <c r="E24" s="60">
        <v>78.099999999999994</v>
      </c>
      <c r="F24" s="89">
        <v>82.79</v>
      </c>
      <c r="G24" s="30">
        <v>85.831000000000003</v>
      </c>
    </row>
    <row r="25" spans="1:7" ht="14.65" thickBot="1" x14ac:dyDescent="0.5">
      <c r="A25" s="6" t="s">
        <v>226</v>
      </c>
      <c r="B25" s="90">
        <v>83.316000000000003</v>
      </c>
      <c r="C25" s="30">
        <v>85.283000000000001</v>
      </c>
      <c r="D25" s="91">
        <v>84.114999999999995</v>
      </c>
      <c r="E25" s="92">
        <v>79.281000000000006</v>
      </c>
      <c r="F25" s="60">
        <v>75.426000000000002</v>
      </c>
      <c r="G25" s="93">
        <v>82.501999999999995</v>
      </c>
    </row>
    <row r="26" spans="1:7" ht="14.65" thickBot="1" x14ac:dyDescent="0.5">
      <c r="A26" s="6" t="s">
        <v>253</v>
      </c>
      <c r="B26" s="60">
        <v>5.61</v>
      </c>
      <c r="C26" s="30">
        <v>48.177</v>
      </c>
      <c r="D26" s="94">
        <v>39.484999999999999</v>
      </c>
      <c r="E26" s="95">
        <v>21.082999999999998</v>
      </c>
      <c r="F26" s="96">
        <v>6.2880000000000003</v>
      </c>
      <c r="G26" s="97">
        <v>27.719000000000001</v>
      </c>
    </row>
    <row r="27" spans="1:7" ht="14.65" thickBot="1" x14ac:dyDescent="0.5">
      <c r="A27" s="6" t="s">
        <v>258</v>
      </c>
      <c r="B27" s="98">
        <v>36.17</v>
      </c>
      <c r="C27" s="99">
        <v>54.374000000000002</v>
      </c>
      <c r="D27" s="30">
        <v>63.615000000000002</v>
      </c>
      <c r="E27" s="60">
        <v>22.957999999999998</v>
      </c>
      <c r="F27" s="100">
        <v>26.417000000000002</v>
      </c>
      <c r="G27" s="101">
        <v>57.91</v>
      </c>
    </row>
    <row r="28" spans="1:7" ht="14.65" thickBot="1" x14ac:dyDescent="0.5">
      <c r="A28" s="6" t="s">
        <v>263</v>
      </c>
      <c r="B28" s="102">
        <v>10.26</v>
      </c>
      <c r="C28" s="103">
        <v>50.36</v>
      </c>
      <c r="D28" s="30">
        <v>64.891000000000005</v>
      </c>
      <c r="E28" s="22">
        <v>-14.853</v>
      </c>
      <c r="F28" s="104">
        <v>18.018000000000001</v>
      </c>
      <c r="G28" s="105">
        <v>54.779000000000003</v>
      </c>
    </row>
    <row r="29" spans="1:7" ht="14.65" thickBot="1" x14ac:dyDescent="0.5">
      <c r="A29" s="6" t="s">
        <v>298</v>
      </c>
      <c r="B29" s="106">
        <v>9.32</v>
      </c>
      <c r="C29" s="107">
        <v>24.23</v>
      </c>
      <c r="D29" s="108">
        <v>15.564</v>
      </c>
      <c r="E29" s="22">
        <v>-32.811</v>
      </c>
      <c r="F29" s="109">
        <v>24.582000000000001</v>
      </c>
      <c r="G29" s="30">
        <v>34.293999999999997</v>
      </c>
    </row>
    <row r="30" spans="1:7" ht="14.65" thickBot="1" x14ac:dyDescent="0.5">
      <c r="A30" s="6" t="s">
        <v>273</v>
      </c>
      <c r="B30" s="110">
        <v>33.33</v>
      </c>
      <c r="C30" s="30">
        <v>53.118000000000002</v>
      </c>
      <c r="D30" s="90">
        <v>46.771000000000001</v>
      </c>
      <c r="E30" s="60">
        <v>20.998999999999999</v>
      </c>
      <c r="F30" s="60">
        <v>21.178999999999998</v>
      </c>
      <c r="G30" s="111">
        <v>49.97</v>
      </c>
    </row>
    <row r="31" spans="1:7" ht="14.65" thickBot="1" x14ac:dyDescent="0.5">
      <c r="A31" s="6" t="s">
        <v>278</v>
      </c>
      <c r="B31" s="51">
        <v>16.329999999999998</v>
      </c>
      <c r="C31" s="112">
        <v>15.936999999999999</v>
      </c>
      <c r="D31" s="104">
        <v>9.2829999999999995</v>
      </c>
      <c r="E31" s="22">
        <v>-12.749000000000001</v>
      </c>
      <c r="F31" s="113">
        <v>14.368</v>
      </c>
      <c r="G31" s="30">
        <v>40.466999999999999</v>
      </c>
    </row>
  </sheetData>
  <mergeCells count="1">
    <mergeCell ref="A1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8BDBD-6141-4018-BFCC-3B979FCB4F03}">
  <dimension ref="A1:K31"/>
  <sheetViews>
    <sheetView zoomScaleNormal="100" workbookViewId="0">
      <selection activeCell="F1" sqref="F1:Q1048576"/>
    </sheetView>
  </sheetViews>
  <sheetFormatPr defaultRowHeight="14.25" x14ac:dyDescent="0.45"/>
  <cols>
    <col min="1" max="1" width="16" bestFit="1" customWidth="1"/>
    <col min="2" max="2" width="14.06640625" customWidth="1"/>
    <col min="3" max="3" width="14.33203125" customWidth="1"/>
    <col min="4" max="4" width="8.796875" customWidth="1"/>
    <col min="5" max="5" width="9.6640625" customWidth="1"/>
    <col min="7" max="7" width="15.59765625" customWidth="1"/>
    <col min="8" max="8" width="19.3984375" bestFit="1" customWidth="1"/>
    <col min="9" max="10" width="16.19921875" bestFit="1" customWidth="1"/>
    <col min="19" max="19" width="9" bestFit="1" customWidth="1"/>
    <col min="20" max="20" width="22.86328125" customWidth="1"/>
    <col min="22" max="22" width="21.73046875" customWidth="1"/>
    <col min="26" max="26" width="18.796875" customWidth="1"/>
  </cols>
  <sheetData>
    <row r="1" spans="1:11" x14ac:dyDescent="0.45">
      <c r="A1" s="133" t="s">
        <v>396</v>
      </c>
      <c r="B1" s="133"/>
      <c r="C1" s="133"/>
      <c r="D1" s="133"/>
    </row>
    <row r="2" spans="1:11" x14ac:dyDescent="0.45">
      <c r="A2" s="133"/>
      <c r="B2" s="133"/>
      <c r="C2" s="133"/>
      <c r="D2" s="133"/>
    </row>
    <row r="3" spans="1:11" ht="14.65" thickBot="1" x14ac:dyDescent="0.5">
      <c r="A3" s="134"/>
      <c r="B3" s="134"/>
      <c r="C3" s="134"/>
      <c r="D3" s="134"/>
    </row>
    <row r="4" spans="1:11" ht="26.65" customHeight="1" thickBot="1" x14ac:dyDescent="0.7">
      <c r="A4" s="8" t="s">
        <v>0</v>
      </c>
      <c r="B4" s="9" t="s">
        <v>24</v>
      </c>
      <c r="C4" s="9" t="s">
        <v>326</v>
      </c>
      <c r="D4" s="9" t="s">
        <v>1</v>
      </c>
      <c r="K4" s="114"/>
    </row>
    <row r="5" spans="1:11" ht="14.65" thickBot="1" x14ac:dyDescent="0.5">
      <c r="A5" s="5" t="s">
        <v>19</v>
      </c>
      <c r="B5" s="10" t="s">
        <v>89</v>
      </c>
      <c r="C5" s="10" t="s">
        <v>248</v>
      </c>
      <c r="D5" s="11">
        <v>0.3448</v>
      </c>
    </row>
    <row r="6" spans="1:11" ht="14.65" thickBot="1" x14ac:dyDescent="0.5">
      <c r="A6" s="5" t="s">
        <v>20</v>
      </c>
      <c r="B6" s="10" t="s">
        <v>93</v>
      </c>
      <c r="C6" s="10" t="s">
        <v>249</v>
      </c>
      <c r="D6" s="11">
        <v>0.37440000000000001</v>
      </c>
    </row>
    <row r="7" spans="1:11" ht="14.65" thickBot="1" x14ac:dyDescent="0.5">
      <c r="A7" s="5" t="s">
        <v>21</v>
      </c>
      <c r="B7" s="10" t="s">
        <v>97</v>
      </c>
      <c r="C7" s="10" t="s">
        <v>250</v>
      </c>
      <c r="D7" s="11">
        <v>0.68969999999999998</v>
      </c>
    </row>
    <row r="8" spans="1:11" ht="25.9" thickBot="1" x14ac:dyDescent="0.5">
      <c r="A8" s="5" t="s">
        <v>22</v>
      </c>
      <c r="B8" s="10" t="s">
        <v>316</v>
      </c>
      <c r="C8" s="10" t="s">
        <v>251</v>
      </c>
      <c r="D8" s="11">
        <v>0.30370000000000003</v>
      </c>
    </row>
    <row r="9" spans="1:11" ht="14.65" thickBot="1" x14ac:dyDescent="0.5">
      <c r="A9" s="5" t="s">
        <v>23</v>
      </c>
      <c r="B9" s="10" t="s">
        <v>103</v>
      </c>
      <c r="C9" s="10" t="s">
        <v>252</v>
      </c>
      <c r="D9" s="11">
        <v>0.32469999999999999</v>
      </c>
    </row>
    <row r="10" spans="1:11" ht="14.65" thickBot="1" x14ac:dyDescent="0.5">
      <c r="A10" s="5" t="s">
        <v>3</v>
      </c>
      <c r="B10" s="10" t="s">
        <v>25</v>
      </c>
      <c r="C10" s="10" t="s">
        <v>232</v>
      </c>
      <c r="D10" s="11">
        <v>0.19589999999999999</v>
      </c>
    </row>
    <row r="11" spans="1:11" ht="14.65" thickBot="1" x14ac:dyDescent="0.5">
      <c r="A11" s="5" t="s">
        <v>4</v>
      </c>
      <c r="B11" s="10" t="s">
        <v>29</v>
      </c>
      <c r="C11" s="10" t="s">
        <v>233</v>
      </c>
      <c r="D11" s="11">
        <v>0.1201</v>
      </c>
    </row>
    <row r="12" spans="1:11" ht="14.65" thickBot="1" x14ac:dyDescent="0.5">
      <c r="A12" s="5" t="s">
        <v>5</v>
      </c>
      <c r="B12" s="10" t="s">
        <v>33</v>
      </c>
      <c r="C12" s="10" t="s">
        <v>234</v>
      </c>
      <c r="D12" s="11">
        <v>0.15029999999999999</v>
      </c>
    </row>
    <row r="13" spans="1:11" ht="14.65" thickBot="1" x14ac:dyDescent="0.5">
      <c r="A13" s="5" t="s">
        <v>6</v>
      </c>
      <c r="B13" s="10" t="s">
        <v>37</v>
      </c>
      <c r="C13" s="10" t="s">
        <v>235</v>
      </c>
      <c r="D13" s="11">
        <v>0.39729999999999999</v>
      </c>
    </row>
    <row r="14" spans="1:11" ht="14.65" thickBot="1" x14ac:dyDescent="0.5">
      <c r="A14" s="5" t="s">
        <v>7</v>
      </c>
      <c r="B14" s="10" t="s">
        <v>41</v>
      </c>
      <c r="C14" s="10" t="s">
        <v>236</v>
      </c>
      <c r="D14" s="11">
        <v>0.17219999999999999</v>
      </c>
    </row>
    <row r="15" spans="1:11" ht="14.65" thickBot="1" x14ac:dyDescent="0.5">
      <c r="A15" s="5" t="s">
        <v>8</v>
      </c>
      <c r="B15" s="10" t="s">
        <v>45</v>
      </c>
      <c r="C15" s="10" t="s">
        <v>237</v>
      </c>
      <c r="D15" s="11">
        <v>0.97089999999999999</v>
      </c>
    </row>
    <row r="16" spans="1:11" ht="14.65" thickBot="1" x14ac:dyDescent="0.5">
      <c r="A16" s="5" t="s">
        <v>9</v>
      </c>
      <c r="B16" s="10" t="s">
        <v>49</v>
      </c>
      <c r="C16" s="10" t="s">
        <v>238</v>
      </c>
      <c r="D16" s="11">
        <v>0.29980000000000001</v>
      </c>
    </row>
    <row r="17" spans="1:4" ht="14.65" thickBot="1" x14ac:dyDescent="0.5">
      <c r="A17" s="5" t="s">
        <v>10</v>
      </c>
      <c r="B17" s="10" t="s">
        <v>53</v>
      </c>
      <c r="C17" s="10" t="s">
        <v>239</v>
      </c>
      <c r="D17" s="11">
        <v>0.61229999999999996</v>
      </c>
    </row>
    <row r="18" spans="1:4" ht="14.65" thickBot="1" x14ac:dyDescent="0.5">
      <c r="A18" s="5" t="s">
        <v>11</v>
      </c>
      <c r="B18" s="10" t="s">
        <v>57</v>
      </c>
      <c r="C18" s="10" t="s">
        <v>240</v>
      </c>
      <c r="D18" s="11">
        <v>0.74619999999999997</v>
      </c>
    </row>
    <row r="19" spans="1:4" ht="14.65" thickBot="1" x14ac:dyDescent="0.5">
      <c r="A19" s="5" t="s">
        <v>12</v>
      </c>
      <c r="B19" s="10" t="s">
        <v>61</v>
      </c>
      <c r="C19" s="10" t="s">
        <v>241</v>
      </c>
      <c r="D19" s="11">
        <v>0.58140000000000003</v>
      </c>
    </row>
    <row r="20" spans="1:4" ht="14.65" thickBot="1" x14ac:dyDescent="0.5">
      <c r="A20" s="5" t="s">
        <v>13</v>
      </c>
      <c r="B20" s="10" t="s">
        <v>65</v>
      </c>
      <c r="C20" s="10" t="s">
        <v>242</v>
      </c>
      <c r="D20" s="11">
        <v>0.34399999999999997</v>
      </c>
    </row>
    <row r="21" spans="1:4" ht="14.65" thickBot="1" x14ac:dyDescent="0.5">
      <c r="A21" s="5" t="s">
        <v>14</v>
      </c>
      <c r="B21" s="10" t="s">
        <v>69</v>
      </c>
      <c r="C21" s="10" t="s">
        <v>243</v>
      </c>
      <c r="D21" s="11">
        <v>0.11169999999999999</v>
      </c>
    </row>
    <row r="22" spans="1:4" ht="14.65" thickBot="1" x14ac:dyDescent="0.5">
      <c r="A22" s="5" t="s">
        <v>15</v>
      </c>
      <c r="B22" s="10" t="s">
        <v>73</v>
      </c>
      <c r="C22" s="10" t="s">
        <v>244</v>
      </c>
      <c r="D22" s="11">
        <v>0.54769999999999996</v>
      </c>
    </row>
    <row r="23" spans="1:4" ht="14.65" thickBot="1" x14ac:dyDescent="0.5">
      <c r="A23" s="5" t="s">
        <v>16</v>
      </c>
      <c r="B23" s="10" t="s">
        <v>77</v>
      </c>
      <c r="C23" s="10" t="s">
        <v>245</v>
      </c>
      <c r="D23" s="11">
        <v>0.2263</v>
      </c>
    </row>
    <row r="24" spans="1:4" ht="14.65" thickBot="1" x14ac:dyDescent="0.5">
      <c r="A24" s="5" t="s">
        <v>17</v>
      </c>
      <c r="B24" s="10" t="s">
        <v>81</v>
      </c>
      <c r="C24" s="10" t="s">
        <v>246</v>
      </c>
      <c r="D24" s="11">
        <v>0.60140000000000005</v>
      </c>
    </row>
    <row r="25" spans="1:4" ht="14.65" thickBot="1" x14ac:dyDescent="0.5">
      <c r="A25" s="5" t="s">
        <v>18</v>
      </c>
      <c r="B25" s="10" t="s">
        <v>85</v>
      </c>
      <c r="C25" s="10" t="s">
        <v>247</v>
      </c>
      <c r="D25" s="11">
        <v>0.29459999999999997</v>
      </c>
    </row>
    <row r="26" spans="1:4" ht="14.65" thickBot="1" x14ac:dyDescent="0.5">
      <c r="A26" s="5" t="s">
        <v>253</v>
      </c>
      <c r="B26" s="10" t="s">
        <v>254</v>
      </c>
      <c r="C26" s="10" t="s">
        <v>325</v>
      </c>
      <c r="D26" s="11">
        <v>0.14779999999999999</v>
      </c>
    </row>
    <row r="27" spans="1:4" ht="14.65" thickBot="1" x14ac:dyDescent="0.5">
      <c r="A27" s="5" t="s">
        <v>258</v>
      </c>
      <c r="B27" s="10" t="s">
        <v>259</v>
      </c>
      <c r="C27" s="10" t="s">
        <v>324</v>
      </c>
      <c r="D27" s="11">
        <v>0.1396</v>
      </c>
    </row>
    <row r="28" spans="1:4" ht="14.65" thickBot="1" x14ac:dyDescent="0.5">
      <c r="A28" s="5" t="s">
        <v>263</v>
      </c>
      <c r="B28" s="10" t="s">
        <v>264</v>
      </c>
      <c r="C28" s="10" t="s">
        <v>323</v>
      </c>
      <c r="D28" s="11">
        <v>2.0999999999999999E-3</v>
      </c>
    </row>
    <row r="29" spans="1:4" ht="14.65" thickBot="1" x14ac:dyDescent="0.5">
      <c r="A29" s="5" t="s">
        <v>298</v>
      </c>
      <c r="B29" s="10" t="s">
        <v>269</v>
      </c>
      <c r="C29" s="10" t="s">
        <v>322</v>
      </c>
      <c r="D29" s="11">
        <v>0.12839999999999999</v>
      </c>
    </row>
    <row r="30" spans="1:4" ht="14.65" thickBot="1" x14ac:dyDescent="0.5">
      <c r="A30" s="5" t="s">
        <v>273</v>
      </c>
      <c r="B30" s="10" t="s">
        <v>274</v>
      </c>
      <c r="C30" s="10" t="s">
        <v>320</v>
      </c>
      <c r="D30" s="11">
        <v>0.26790000000000003</v>
      </c>
    </row>
    <row r="31" spans="1:4" ht="14.65" thickBot="1" x14ac:dyDescent="0.5">
      <c r="A31" s="5" t="s">
        <v>278</v>
      </c>
      <c r="B31" s="10" t="s">
        <v>279</v>
      </c>
      <c r="C31" s="10" t="s">
        <v>321</v>
      </c>
      <c r="D31" s="11">
        <v>0.40379999999999999</v>
      </c>
    </row>
  </sheetData>
  <mergeCells count="1">
    <mergeCell ref="A1:D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679AD-8710-4F4D-ACF7-EDE3BC127BAC}">
  <dimension ref="A1:N33"/>
  <sheetViews>
    <sheetView zoomScaleNormal="100" workbookViewId="0">
      <selection activeCell="I1" sqref="I1:L1048576"/>
    </sheetView>
  </sheetViews>
  <sheetFormatPr defaultRowHeight="14.25" x14ac:dyDescent="0.45"/>
  <cols>
    <col min="2" max="2" width="13.6640625" customWidth="1"/>
    <col min="3" max="3" width="12" customWidth="1"/>
    <col min="5" max="5" width="13" customWidth="1"/>
    <col min="6" max="6" width="17.59765625" style="1" customWidth="1"/>
    <col min="7" max="7" width="16.53125" bestFit="1" customWidth="1"/>
    <col min="10" max="10" width="15.59765625" customWidth="1"/>
    <col min="11" max="11" width="19.3984375" bestFit="1" customWidth="1"/>
    <col min="12" max="13" width="16.19921875" bestFit="1" customWidth="1"/>
    <col min="22" max="22" width="9" bestFit="1" customWidth="1"/>
    <col min="23" max="23" width="22.86328125" customWidth="1"/>
    <col min="25" max="25" width="21.73046875" customWidth="1"/>
    <col min="29" max="29" width="18.796875" customWidth="1"/>
  </cols>
  <sheetData>
    <row r="1" spans="1:14" x14ac:dyDescent="0.45">
      <c r="A1" s="133" t="s">
        <v>397</v>
      </c>
      <c r="B1" s="133"/>
      <c r="C1" s="133"/>
      <c r="D1" s="133"/>
      <c r="E1" s="133"/>
      <c r="F1" s="133"/>
      <c r="G1" s="133"/>
    </row>
    <row r="2" spans="1:14" x14ac:dyDescent="0.45">
      <c r="A2" s="133"/>
      <c r="B2" s="133"/>
      <c r="C2" s="133"/>
      <c r="D2" s="133"/>
      <c r="E2" s="133"/>
      <c r="F2" s="133"/>
      <c r="G2" s="133"/>
    </row>
    <row r="3" spans="1:14" ht="14.65" thickBot="1" x14ac:dyDescent="0.5">
      <c r="A3" s="134"/>
      <c r="B3" s="134"/>
      <c r="C3" s="134"/>
      <c r="D3" s="134"/>
      <c r="E3" s="134"/>
      <c r="F3" s="134"/>
      <c r="G3" s="134"/>
    </row>
    <row r="4" spans="1:14" ht="26.65" customHeight="1" thickBot="1" x14ac:dyDescent="0.7">
      <c r="A4" s="143" t="s">
        <v>0</v>
      </c>
      <c r="B4" s="135" t="s">
        <v>314</v>
      </c>
      <c r="C4" s="136"/>
      <c r="D4" s="137"/>
      <c r="E4" s="135" t="s">
        <v>315</v>
      </c>
      <c r="F4" s="136"/>
      <c r="G4" s="137"/>
      <c r="N4" s="114"/>
    </row>
    <row r="5" spans="1:14" x14ac:dyDescent="0.45">
      <c r="A5" s="144"/>
      <c r="B5" s="12" t="s">
        <v>333</v>
      </c>
      <c r="C5" s="14" t="s">
        <v>335</v>
      </c>
      <c r="D5" s="143" t="s">
        <v>210</v>
      </c>
      <c r="E5" s="12" t="s">
        <v>333</v>
      </c>
      <c r="F5" s="12" t="s">
        <v>335</v>
      </c>
      <c r="G5" s="143" t="s">
        <v>210</v>
      </c>
    </row>
    <row r="6" spans="1:14" ht="14.65" thickBot="1" x14ac:dyDescent="0.5">
      <c r="A6" s="145"/>
      <c r="B6" s="13" t="s">
        <v>334</v>
      </c>
      <c r="C6" s="13" t="s">
        <v>334</v>
      </c>
      <c r="D6" s="145"/>
      <c r="E6" s="13" t="s">
        <v>334</v>
      </c>
      <c r="F6" s="13" t="s">
        <v>334</v>
      </c>
      <c r="G6" s="145"/>
    </row>
    <row r="7" spans="1:14" ht="14.65" thickBot="1" x14ac:dyDescent="0.5">
      <c r="A7" s="5" t="s">
        <v>19</v>
      </c>
      <c r="B7" s="10">
        <v>0.68899999999999995</v>
      </c>
      <c r="C7" s="10">
        <v>0.40600000000000003</v>
      </c>
      <c r="D7" s="10">
        <v>41.07</v>
      </c>
      <c r="E7" s="10">
        <v>0.74893699999999996</v>
      </c>
      <c r="F7" s="10">
        <v>0.70606599999999997</v>
      </c>
      <c r="G7" s="10">
        <v>5.7242300000000004</v>
      </c>
    </row>
    <row r="8" spans="1:14" ht="14.65" thickBot="1" x14ac:dyDescent="0.5">
      <c r="A8" s="5" t="s">
        <v>20</v>
      </c>
      <c r="B8" s="10">
        <v>0.71899999999999997</v>
      </c>
      <c r="C8" s="10">
        <v>0.42599999999999999</v>
      </c>
      <c r="D8" s="10">
        <v>40.75</v>
      </c>
      <c r="E8" s="10">
        <v>0.77158599999999999</v>
      </c>
      <c r="F8" s="10">
        <v>0.70371099999999998</v>
      </c>
      <c r="G8" s="10">
        <v>8.7968200000000003</v>
      </c>
    </row>
    <row r="9" spans="1:14" ht="14.65" thickBot="1" x14ac:dyDescent="0.5">
      <c r="A9" s="5" t="s">
        <v>21</v>
      </c>
      <c r="B9" s="10">
        <v>0.48799999999999999</v>
      </c>
      <c r="C9" s="10">
        <v>0.33800000000000002</v>
      </c>
      <c r="D9" s="10">
        <v>30.74</v>
      </c>
      <c r="E9" s="10">
        <v>0.75248499999999996</v>
      </c>
      <c r="F9" s="10">
        <v>0.69552800000000004</v>
      </c>
      <c r="G9" s="10">
        <v>7.5691300000000004</v>
      </c>
    </row>
    <row r="10" spans="1:14" ht="14.65" thickBot="1" x14ac:dyDescent="0.5">
      <c r="A10" s="5" t="s">
        <v>22</v>
      </c>
      <c r="B10" s="10">
        <v>1.1719999999999999</v>
      </c>
      <c r="C10" s="10">
        <v>0.84899999999999998</v>
      </c>
      <c r="D10" s="10">
        <v>27.56</v>
      </c>
      <c r="E10" s="10">
        <v>1.4500839999999999</v>
      </c>
      <c r="F10" s="10">
        <v>1.6341870000000001</v>
      </c>
      <c r="G10" s="10">
        <v>-12.69603</v>
      </c>
    </row>
    <row r="11" spans="1:14" ht="14.65" thickBot="1" x14ac:dyDescent="0.5">
      <c r="A11" s="5" t="s">
        <v>23</v>
      </c>
      <c r="B11" s="10">
        <v>1.266</v>
      </c>
      <c r="C11" s="10">
        <v>0.39700000000000002</v>
      </c>
      <c r="D11" s="10">
        <v>68.64</v>
      </c>
      <c r="E11" s="10">
        <v>1.445317</v>
      </c>
      <c r="F11" s="10">
        <v>1.486521</v>
      </c>
      <c r="G11" s="10">
        <v>-2.8508599999999999</v>
      </c>
    </row>
    <row r="12" spans="1:14" ht="14.65" thickBot="1" x14ac:dyDescent="0.5">
      <c r="A12" s="5" t="s">
        <v>3</v>
      </c>
      <c r="B12" s="10">
        <v>2.609</v>
      </c>
      <c r="C12" s="10">
        <v>2.3759999999999999</v>
      </c>
      <c r="D12" s="10">
        <v>8.93</v>
      </c>
      <c r="E12" s="10">
        <v>4.0399190000000003</v>
      </c>
      <c r="F12" s="10">
        <v>4.9886559999999998</v>
      </c>
      <c r="G12" s="10">
        <v>-23.484059999999999</v>
      </c>
    </row>
    <row r="13" spans="1:14" ht="14.65" thickBot="1" x14ac:dyDescent="0.5">
      <c r="A13" s="5" t="s">
        <v>4</v>
      </c>
      <c r="B13" s="10">
        <v>0.39100000000000001</v>
      </c>
      <c r="C13" s="10">
        <v>0.19800000000000001</v>
      </c>
      <c r="D13" s="10">
        <v>49.36</v>
      </c>
      <c r="E13" s="10">
        <v>0.78948099999999999</v>
      </c>
      <c r="F13" s="10">
        <v>0.74658899999999995</v>
      </c>
      <c r="G13" s="10">
        <v>5.43302</v>
      </c>
    </row>
    <row r="14" spans="1:14" ht="14.65" thickBot="1" x14ac:dyDescent="0.5">
      <c r="A14" s="5" t="s">
        <v>5</v>
      </c>
      <c r="B14" s="10">
        <v>2.86</v>
      </c>
      <c r="C14" s="10">
        <v>2.133</v>
      </c>
      <c r="D14" s="10">
        <v>25.42</v>
      </c>
      <c r="E14" s="10">
        <v>3.9313799999999999</v>
      </c>
      <c r="F14" s="10">
        <v>5.2533110000000001</v>
      </c>
      <c r="G14" s="10">
        <v>-33.625100000000003</v>
      </c>
    </row>
    <row r="15" spans="1:14" ht="14.65" thickBot="1" x14ac:dyDescent="0.5">
      <c r="A15" s="5" t="s">
        <v>6</v>
      </c>
      <c r="B15" s="10">
        <v>0.27300000000000002</v>
      </c>
      <c r="C15" s="10">
        <v>9.8000000000000004E-2</v>
      </c>
      <c r="D15" s="10">
        <v>64.099999999999994</v>
      </c>
      <c r="E15" s="10">
        <v>1.980456</v>
      </c>
      <c r="F15" s="10">
        <v>2.3685740000000002</v>
      </c>
      <c r="G15" s="10">
        <v>-19.597429999999999</v>
      </c>
    </row>
    <row r="16" spans="1:14" ht="14.65" thickBot="1" x14ac:dyDescent="0.5">
      <c r="A16" s="5" t="s">
        <v>7</v>
      </c>
      <c r="B16" s="10">
        <v>0.59099999999999997</v>
      </c>
      <c r="C16" s="10">
        <v>0.48499999999999999</v>
      </c>
      <c r="D16" s="10">
        <v>17.940000000000001</v>
      </c>
      <c r="E16" s="10">
        <v>0.72462199999999999</v>
      </c>
      <c r="F16" s="10">
        <v>0.80951300000000004</v>
      </c>
      <c r="G16" s="10">
        <v>-11.71522</v>
      </c>
    </row>
    <row r="17" spans="1:7" ht="14.65" thickBot="1" x14ac:dyDescent="0.5">
      <c r="A17" s="5" t="s">
        <v>8</v>
      </c>
      <c r="B17" s="10">
        <v>3.8380000000000001</v>
      </c>
      <c r="C17" s="10">
        <v>0.218</v>
      </c>
      <c r="D17" s="10">
        <v>94.32</v>
      </c>
      <c r="E17" s="10">
        <v>6.9381620000000002</v>
      </c>
      <c r="F17" s="10">
        <v>7.4967050000000004</v>
      </c>
      <c r="G17" s="10">
        <v>-8.0502920000000007</v>
      </c>
    </row>
    <row r="18" spans="1:7" ht="14.65" thickBot="1" x14ac:dyDescent="0.5">
      <c r="A18" s="5" t="s">
        <v>9</v>
      </c>
      <c r="B18" s="10">
        <v>0.36899999999999999</v>
      </c>
      <c r="C18" s="10">
        <v>0.22500000000000001</v>
      </c>
      <c r="D18" s="10">
        <v>39.020000000000003</v>
      </c>
      <c r="E18" s="10">
        <v>1.4121870000000001</v>
      </c>
      <c r="F18" s="10">
        <v>1.49241</v>
      </c>
      <c r="G18" s="10">
        <v>-5.6807499999999997</v>
      </c>
    </row>
    <row r="19" spans="1:7" ht="14.65" thickBot="1" x14ac:dyDescent="0.5">
      <c r="A19" s="5" t="s">
        <v>10</v>
      </c>
      <c r="B19" s="10">
        <v>0.48199999999999998</v>
      </c>
      <c r="C19" s="10">
        <v>1.4999999999999999E-2</v>
      </c>
      <c r="D19" s="10">
        <v>96.89</v>
      </c>
      <c r="E19" s="10">
        <v>0.82691099999999995</v>
      </c>
      <c r="F19" s="10">
        <v>1.0136559999999999</v>
      </c>
      <c r="G19" s="10">
        <v>-22.583549999999999</v>
      </c>
    </row>
    <row r="20" spans="1:7" ht="14.65" thickBot="1" x14ac:dyDescent="0.5">
      <c r="A20" s="5" t="s">
        <v>11</v>
      </c>
      <c r="B20" s="10">
        <v>9.0999999999999998E-2</v>
      </c>
      <c r="C20" s="10">
        <v>7.0999999999999994E-2</v>
      </c>
      <c r="D20" s="10">
        <v>21.98</v>
      </c>
      <c r="E20" s="10">
        <v>0.82374800000000004</v>
      </c>
      <c r="F20" s="10">
        <v>1.0799879999999999</v>
      </c>
      <c r="G20" s="10">
        <v>-31.106560000000002</v>
      </c>
    </row>
    <row r="21" spans="1:7" ht="14.65" thickBot="1" x14ac:dyDescent="0.5">
      <c r="A21" s="5" t="s">
        <v>12</v>
      </c>
      <c r="B21" s="10">
        <v>0.6</v>
      </c>
      <c r="C21" s="10">
        <v>7.0999999999999994E-2</v>
      </c>
      <c r="D21" s="10">
        <v>88.17</v>
      </c>
      <c r="E21" s="10">
        <v>0.81552199999999997</v>
      </c>
      <c r="F21" s="10">
        <v>1.007765</v>
      </c>
      <c r="G21" s="10">
        <v>-23.573060000000002</v>
      </c>
    </row>
    <row r="22" spans="1:7" ht="14.65" thickBot="1" x14ac:dyDescent="0.5">
      <c r="A22" s="5" t="s">
        <v>13</v>
      </c>
      <c r="B22" s="10">
        <v>0.56000000000000005</v>
      </c>
      <c r="C22" s="10">
        <v>7.6999999999999999E-2</v>
      </c>
      <c r="D22" s="10">
        <v>86.25</v>
      </c>
      <c r="E22" s="10">
        <v>0.85415600000000003</v>
      </c>
      <c r="F22" s="10">
        <v>1.016718</v>
      </c>
      <c r="G22" s="10">
        <v>-19.0319</v>
      </c>
    </row>
    <row r="23" spans="1:7" ht="14.65" thickBot="1" x14ac:dyDescent="0.5">
      <c r="A23" s="5" t="s">
        <v>14</v>
      </c>
      <c r="B23" s="10">
        <v>0.55700000000000005</v>
      </c>
      <c r="C23" s="10">
        <v>0.109</v>
      </c>
      <c r="D23" s="10">
        <v>80.430000000000007</v>
      </c>
      <c r="E23" s="10">
        <v>0.83965900000000004</v>
      </c>
      <c r="F23" s="10">
        <v>1.013074</v>
      </c>
      <c r="G23" s="10">
        <v>-20.65305</v>
      </c>
    </row>
    <row r="24" spans="1:7" ht="14.65" thickBot="1" x14ac:dyDescent="0.5">
      <c r="A24" s="5" t="s">
        <v>15</v>
      </c>
      <c r="B24" s="10">
        <v>0.40600000000000003</v>
      </c>
      <c r="C24" s="10">
        <v>4.2999999999999997E-2</v>
      </c>
      <c r="D24" s="10">
        <v>89.41</v>
      </c>
      <c r="E24" s="10">
        <v>0.84074899999999997</v>
      </c>
      <c r="F24" s="10">
        <v>0.99554100000000001</v>
      </c>
      <c r="G24" s="10">
        <v>-18.41123</v>
      </c>
    </row>
    <row r="25" spans="1:7" ht="14.65" thickBot="1" x14ac:dyDescent="0.5">
      <c r="A25" s="5" t="s">
        <v>16</v>
      </c>
      <c r="B25" s="10">
        <v>0.61899999999999999</v>
      </c>
      <c r="C25" s="10">
        <v>0.221</v>
      </c>
      <c r="D25" s="10">
        <v>64.3</v>
      </c>
      <c r="E25" s="10">
        <v>0.89258899999999997</v>
      </c>
      <c r="F25" s="10">
        <v>1.129586</v>
      </c>
      <c r="G25" s="10">
        <v>-26.55161</v>
      </c>
    </row>
    <row r="26" spans="1:7" ht="14.65" thickBot="1" x14ac:dyDescent="0.5">
      <c r="A26" s="5" t="s">
        <v>17</v>
      </c>
      <c r="B26" s="10">
        <v>0.44500000000000001</v>
      </c>
      <c r="C26" s="10">
        <v>5.7000000000000002E-2</v>
      </c>
      <c r="D26" s="10">
        <v>87.19</v>
      </c>
      <c r="E26" s="10">
        <v>0.90827100000000005</v>
      </c>
      <c r="F26" s="10">
        <v>1.097227</v>
      </c>
      <c r="G26" s="10">
        <v>-20.803879999999999</v>
      </c>
    </row>
    <row r="27" spans="1:7" ht="14.65" thickBot="1" x14ac:dyDescent="0.5">
      <c r="A27" s="5" t="s">
        <v>18</v>
      </c>
      <c r="B27" s="10">
        <v>0.33300000000000002</v>
      </c>
      <c r="C27" s="10">
        <v>4.9000000000000002E-2</v>
      </c>
      <c r="D27" s="10">
        <v>85.29</v>
      </c>
      <c r="E27" s="10">
        <v>0.88516799999999995</v>
      </c>
      <c r="F27" s="10">
        <v>0.93789699999999998</v>
      </c>
      <c r="G27" s="10">
        <v>-5.9569179999999999</v>
      </c>
    </row>
    <row r="28" spans="1:7" ht="15" thickBot="1" x14ac:dyDescent="0.55000000000000004">
      <c r="A28" s="5" t="s">
        <v>253</v>
      </c>
      <c r="B28" s="10">
        <v>3.03</v>
      </c>
      <c r="C28" s="118">
        <v>2.14</v>
      </c>
      <c r="D28" s="119">
        <f>((B28-C28)/B28)*100</f>
        <v>29.372937293729361</v>
      </c>
      <c r="E28" s="10">
        <v>4.8739999999999997</v>
      </c>
      <c r="F28" s="10">
        <v>4.8940000000000001</v>
      </c>
      <c r="G28" s="10">
        <v>-0.41</v>
      </c>
    </row>
    <row r="29" spans="1:7" ht="15" thickBot="1" x14ac:dyDescent="0.55000000000000004">
      <c r="A29" s="5" t="s">
        <v>258</v>
      </c>
      <c r="B29" s="10">
        <v>0.47</v>
      </c>
      <c r="C29" s="118">
        <v>0.23</v>
      </c>
      <c r="D29" s="119">
        <f t="shared" ref="D29:D33" si="0">((B29-C29)/B29)*100</f>
        <v>51.063829787234042</v>
      </c>
      <c r="E29" s="10">
        <v>0.80857900000000005</v>
      </c>
      <c r="F29" s="10">
        <v>0.81894299999999998</v>
      </c>
      <c r="G29" s="10">
        <v>-1.281652</v>
      </c>
    </row>
    <row r="30" spans="1:7" ht="15" thickBot="1" x14ac:dyDescent="0.55000000000000004">
      <c r="A30" s="5" t="s">
        <v>263</v>
      </c>
      <c r="B30" s="10">
        <v>0.39</v>
      </c>
      <c r="C30" s="118">
        <v>0.2</v>
      </c>
      <c r="D30" s="119">
        <f t="shared" si="0"/>
        <v>48.717948717948715</v>
      </c>
      <c r="E30" s="10">
        <v>2.1220479999999999</v>
      </c>
      <c r="F30" s="10">
        <v>2.1920380000000002</v>
      </c>
      <c r="G30" s="10">
        <v>-3.298225</v>
      </c>
    </row>
    <row r="31" spans="1:7" ht="15" thickBot="1" x14ac:dyDescent="0.55000000000000004">
      <c r="A31" s="5" t="s">
        <v>298</v>
      </c>
      <c r="B31" s="10">
        <v>1.61</v>
      </c>
      <c r="C31" s="118">
        <v>1.29</v>
      </c>
      <c r="D31" s="119">
        <f t="shared" si="0"/>
        <v>19.87577639751553</v>
      </c>
      <c r="E31" s="10">
        <v>4.0359999999999996</v>
      </c>
      <c r="F31" s="10">
        <v>4.0110000000000001</v>
      </c>
      <c r="G31" s="10">
        <v>0.61399999999999999</v>
      </c>
    </row>
    <row r="32" spans="1:7" ht="15" thickBot="1" x14ac:dyDescent="0.55000000000000004">
      <c r="A32" s="5" t="s">
        <v>273</v>
      </c>
      <c r="B32" s="10">
        <v>2.73</v>
      </c>
      <c r="C32" s="118">
        <v>1.55</v>
      </c>
      <c r="D32" s="119">
        <f t="shared" si="0"/>
        <v>43.223443223443219</v>
      </c>
      <c r="E32" s="10">
        <v>4.0270000000000001</v>
      </c>
      <c r="F32" s="10">
        <v>4.1900000000000004</v>
      </c>
      <c r="G32" s="10">
        <v>-4.0510000000000002</v>
      </c>
    </row>
    <row r="33" spans="1:7" ht="15" thickBot="1" x14ac:dyDescent="0.55000000000000004">
      <c r="A33" s="5" t="s">
        <v>278</v>
      </c>
      <c r="B33" s="10">
        <v>3.43</v>
      </c>
      <c r="C33" s="118">
        <v>3.01</v>
      </c>
      <c r="D33" s="119">
        <f t="shared" si="0"/>
        <v>12.244897959183684</v>
      </c>
      <c r="E33" s="10">
        <v>4.3170000000000002</v>
      </c>
      <c r="F33" s="10">
        <v>4.3739999999999997</v>
      </c>
      <c r="G33" s="10">
        <v>-1.333</v>
      </c>
    </row>
  </sheetData>
  <mergeCells count="6">
    <mergeCell ref="A1:G3"/>
    <mergeCell ref="A4:A6"/>
    <mergeCell ref="B4:D4"/>
    <mergeCell ref="E4:G4"/>
    <mergeCell ref="D5:D6"/>
    <mergeCell ref="G5:G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28B3D-1D19-47AE-A840-62ED65B7AD3C}">
  <dimension ref="A1:F32"/>
  <sheetViews>
    <sheetView zoomScaleNormal="100" workbookViewId="0">
      <selection activeCell="E4" sqref="E4"/>
    </sheetView>
  </sheetViews>
  <sheetFormatPr defaultRowHeight="14.25" x14ac:dyDescent="0.45"/>
  <cols>
    <col min="2" max="2" width="15.59765625" customWidth="1"/>
    <col min="3" max="3" width="19.3984375" bestFit="1" customWidth="1"/>
    <col min="4" max="5" width="16.19921875" bestFit="1" customWidth="1"/>
    <col min="14" max="14" width="9" bestFit="1" customWidth="1"/>
    <col min="15" max="15" width="22.86328125" customWidth="1"/>
    <col min="17" max="17" width="21.73046875" customWidth="1"/>
    <col min="21" max="21" width="18.796875" customWidth="1"/>
  </cols>
  <sheetData>
    <row r="1" spans="1:6" ht="14.65" customHeight="1" x14ac:dyDescent="0.45">
      <c r="A1" s="133" t="s">
        <v>398</v>
      </c>
      <c r="B1" s="133"/>
      <c r="C1" s="133"/>
      <c r="D1" s="133"/>
    </row>
    <row r="2" spans="1:6" ht="14.25" customHeight="1" x14ac:dyDescent="0.45">
      <c r="A2" s="133"/>
      <c r="B2" s="133"/>
      <c r="C2" s="133"/>
      <c r="D2" s="133"/>
    </row>
    <row r="3" spans="1:6" ht="14.65" thickBot="1" x14ac:dyDescent="0.5">
      <c r="A3" s="134"/>
      <c r="B3" s="134"/>
      <c r="C3" s="134"/>
      <c r="D3" s="134"/>
    </row>
    <row r="4" spans="1:6" x14ac:dyDescent="0.45">
      <c r="A4" s="146" t="s">
        <v>0</v>
      </c>
      <c r="B4" s="14" t="s">
        <v>336</v>
      </c>
      <c r="C4" s="148" t="s">
        <v>338</v>
      </c>
      <c r="D4" s="149"/>
    </row>
    <row r="5" spans="1:6" ht="26.65" customHeight="1" thickBot="1" x14ac:dyDescent="0.7">
      <c r="A5" s="147"/>
      <c r="B5" s="13" t="s">
        <v>337</v>
      </c>
      <c r="C5" s="150" t="s">
        <v>399</v>
      </c>
      <c r="D5" s="151"/>
      <c r="F5" s="114"/>
    </row>
    <row r="6" spans="1:6" ht="14.65" thickBot="1" x14ac:dyDescent="0.5">
      <c r="A6" s="6" t="s">
        <v>19</v>
      </c>
      <c r="B6" s="15" t="s">
        <v>248</v>
      </c>
      <c r="C6" s="16" t="s">
        <v>185</v>
      </c>
      <c r="D6" s="15" t="s">
        <v>327</v>
      </c>
    </row>
    <row r="7" spans="1:6" ht="14.65" thickBot="1" x14ac:dyDescent="0.5">
      <c r="A7" s="6" t="s">
        <v>20</v>
      </c>
      <c r="B7" s="15" t="s">
        <v>249</v>
      </c>
      <c r="C7" s="16" t="s">
        <v>190</v>
      </c>
      <c r="D7" s="15" t="s">
        <v>327</v>
      </c>
    </row>
    <row r="8" spans="1:6" ht="14.65" thickBot="1" x14ac:dyDescent="0.5">
      <c r="A8" s="6" t="s">
        <v>21</v>
      </c>
      <c r="B8" s="15" t="s">
        <v>250</v>
      </c>
      <c r="C8" s="16" t="s">
        <v>195</v>
      </c>
      <c r="D8" s="15" t="s">
        <v>327</v>
      </c>
    </row>
    <row r="9" spans="1:6" ht="14.65" thickBot="1" x14ac:dyDescent="0.5">
      <c r="A9" s="6" t="s">
        <v>22</v>
      </c>
      <c r="B9" s="15" t="s">
        <v>251</v>
      </c>
      <c r="C9" s="16" t="s">
        <v>199</v>
      </c>
      <c r="D9" s="15" t="s">
        <v>327</v>
      </c>
    </row>
    <row r="10" spans="1:6" ht="14.65" thickBot="1" x14ac:dyDescent="0.5">
      <c r="A10" s="6" t="s">
        <v>23</v>
      </c>
      <c r="B10" s="15" t="s">
        <v>252</v>
      </c>
      <c r="C10" s="16" t="s">
        <v>203</v>
      </c>
      <c r="D10" s="15" t="s">
        <v>327</v>
      </c>
    </row>
    <row r="11" spans="1:6" ht="14.65" thickBot="1" x14ac:dyDescent="0.5">
      <c r="A11" s="6" t="s">
        <v>3</v>
      </c>
      <c r="B11" s="15" t="s">
        <v>232</v>
      </c>
      <c r="C11" s="16" t="s">
        <v>116</v>
      </c>
      <c r="D11" s="15" t="s">
        <v>328</v>
      </c>
    </row>
    <row r="12" spans="1:6" ht="14.65" thickBot="1" x14ac:dyDescent="0.5">
      <c r="A12" s="6" t="s">
        <v>4</v>
      </c>
      <c r="B12" s="15" t="s">
        <v>233</v>
      </c>
      <c r="C12" s="16" t="s">
        <v>121</v>
      </c>
      <c r="D12" s="15" t="s">
        <v>328</v>
      </c>
    </row>
    <row r="13" spans="1:6" ht="14.65" thickBot="1" x14ac:dyDescent="0.5">
      <c r="A13" s="6" t="s">
        <v>5</v>
      </c>
      <c r="B13" s="15" t="s">
        <v>234</v>
      </c>
      <c r="C13" s="16" t="s">
        <v>122</v>
      </c>
      <c r="D13" s="15" t="s">
        <v>327</v>
      </c>
    </row>
    <row r="14" spans="1:6" ht="14.65" thickBot="1" x14ac:dyDescent="0.5">
      <c r="A14" s="6" t="s">
        <v>6</v>
      </c>
      <c r="B14" s="15" t="s">
        <v>235</v>
      </c>
      <c r="C14" s="16" t="s">
        <v>128</v>
      </c>
      <c r="D14" s="15" t="s">
        <v>329</v>
      </c>
    </row>
    <row r="15" spans="1:6" ht="14.65" thickBot="1" x14ac:dyDescent="0.5">
      <c r="A15" s="6" t="s">
        <v>7</v>
      </c>
      <c r="B15" s="15" t="s">
        <v>236</v>
      </c>
      <c r="C15" s="16" t="s">
        <v>131</v>
      </c>
      <c r="D15" s="15" t="s">
        <v>329</v>
      </c>
    </row>
    <row r="16" spans="1:6" ht="14.65" thickBot="1" x14ac:dyDescent="0.5">
      <c r="A16" s="6" t="s">
        <v>8</v>
      </c>
      <c r="B16" s="15" t="s">
        <v>237</v>
      </c>
      <c r="C16" s="16" t="s">
        <v>134</v>
      </c>
      <c r="D16" s="15" t="s">
        <v>330</v>
      </c>
    </row>
    <row r="17" spans="1:4" ht="14.65" thickBot="1" x14ac:dyDescent="0.5">
      <c r="A17" s="6" t="s">
        <v>9</v>
      </c>
      <c r="B17" s="15" t="s">
        <v>238</v>
      </c>
      <c r="C17" s="16" t="s">
        <v>141</v>
      </c>
      <c r="D17" s="15" t="s">
        <v>328</v>
      </c>
    </row>
    <row r="18" spans="1:4" ht="14.65" thickBot="1" x14ac:dyDescent="0.5">
      <c r="A18" s="6" t="s">
        <v>10</v>
      </c>
      <c r="B18" s="15" t="s">
        <v>239</v>
      </c>
      <c r="C18" s="16" t="s">
        <v>145</v>
      </c>
      <c r="D18" s="15" t="s">
        <v>329</v>
      </c>
    </row>
    <row r="19" spans="1:4" ht="14.65" thickBot="1" x14ac:dyDescent="0.5">
      <c r="A19" s="6" t="s">
        <v>11</v>
      </c>
      <c r="B19" s="15" t="s">
        <v>240</v>
      </c>
      <c r="C19" s="16" t="s">
        <v>149</v>
      </c>
      <c r="D19" s="15" t="s">
        <v>331</v>
      </c>
    </row>
    <row r="20" spans="1:4" ht="14.65" thickBot="1" x14ac:dyDescent="0.5">
      <c r="A20" s="6" t="s">
        <v>12</v>
      </c>
      <c r="B20" s="15" t="s">
        <v>241</v>
      </c>
      <c r="C20" s="16" t="s">
        <v>153</v>
      </c>
      <c r="D20" s="15" t="s">
        <v>329</v>
      </c>
    </row>
    <row r="21" spans="1:4" ht="14.65" thickBot="1" x14ac:dyDescent="0.5">
      <c r="A21" s="6" t="s">
        <v>13</v>
      </c>
      <c r="B21" s="15" t="s">
        <v>242</v>
      </c>
      <c r="C21" s="16" t="s">
        <v>159</v>
      </c>
      <c r="D21" s="15" t="s">
        <v>328</v>
      </c>
    </row>
    <row r="22" spans="1:4" ht="14.65" thickBot="1" x14ac:dyDescent="0.5">
      <c r="A22" s="6" t="s">
        <v>14</v>
      </c>
      <c r="B22" s="15" t="s">
        <v>243</v>
      </c>
      <c r="C22" s="16" t="s">
        <v>164</v>
      </c>
      <c r="D22" s="15" t="s">
        <v>328</v>
      </c>
    </row>
    <row r="23" spans="1:4" ht="14.65" thickBot="1" x14ac:dyDescent="0.5">
      <c r="A23" s="6" t="s">
        <v>15</v>
      </c>
      <c r="B23" s="15" t="s">
        <v>244</v>
      </c>
      <c r="C23" s="16" t="s">
        <v>168</v>
      </c>
      <c r="D23" s="15" t="s">
        <v>329</v>
      </c>
    </row>
    <row r="24" spans="1:4" ht="14.65" thickBot="1" x14ac:dyDescent="0.5">
      <c r="A24" s="6" t="s">
        <v>16</v>
      </c>
      <c r="B24" s="15" t="s">
        <v>245</v>
      </c>
      <c r="C24" s="16" t="s">
        <v>170</v>
      </c>
      <c r="D24" s="15" t="s">
        <v>327</v>
      </c>
    </row>
    <row r="25" spans="1:4" ht="14.65" thickBot="1" x14ac:dyDescent="0.5">
      <c r="A25" s="6" t="s">
        <v>17</v>
      </c>
      <c r="B25" s="15" t="s">
        <v>246</v>
      </c>
      <c r="C25" s="16" t="s">
        <v>82</v>
      </c>
      <c r="D25" s="15" t="s">
        <v>332</v>
      </c>
    </row>
    <row r="26" spans="1:4" ht="14.65" thickBot="1" x14ac:dyDescent="0.5">
      <c r="A26" s="6" t="s">
        <v>18</v>
      </c>
      <c r="B26" s="15" t="s">
        <v>247</v>
      </c>
      <c r="C26" s="16" t="s">
        <v>184</v>
      </c>
      <c r="D26" s="15" t="s">
        <v>328</v>
      </c>
    </row>
    <row r="27" spans="1:4" ht="14.65" thickBot="1" x14ac:dyDescent="0.5">
      <c r="A27" s="6" t="s">
        <v>253</v>
      </c>
      <c r="B27" s="15" t="s">
        <v>325</v>
      </c>
      <c r="C27" s="16" t="s">
        <v>283</v>
      </c>
      <c r="D27" s="15" t="s">
        <v>327</v>
      </c>
    </row>
    <row r="28" spans="1:4" ht="14.65" thickBot="1" x14ac:dyDescent="0.5">
      <c r="A28" s="6" t="s">
        <v>258</v>
      </c>
      <c r="B28" s="15" t="s">
        <v>324</v>
      </c>
      <c r="C28" s="16" t="s">
        <v>291</v>
      </c>
      <c r="D28" s="15" t="s">
        <v>329</v>
      </c>
    </row>
    <row r="29" spans="1:4" ht="14.65" thickBot="1" x14ac:dyDescent="0.5">
      <c r="A29" s="6" t="s">
        <v>263</v>
      </c>
      <c r="B29" s="15" t="s">
        <v>323</v>
      </c>
      <c r="C29" s="16" t="s">
        <v>296</v>
      </c>
      <c r="D29" s="15" t="s">
        <v>329</v>
      </c>
    </row>
    <row r="30" spans="1:4" ht="14.65" thickBot="1" x14ac:dyDescent="0.5">
      <c r="A30" s="6" t="s">
        <v>298</v>
      </c>
      <c r="B30" s="15" t="s">
        <v>322</v>
      </c>
      <c r="C30" s="16" t="s">
        <v>299</v>
      </c>
      <c r="D30" s="15" t="s">
        <v>327</v>
      </c>
    </row>
    <row r="31" spans="1:4" ht="14.65" thickBot="1" x14ac:dyDescent="0.5">
      <c r="A31" s="6" t="s">
        <v>273</v>
      </c>
      <c r="B31" s="15" t="s">
        <v>320</v>
      </c>
      <c r="C31" s="16" t="s">
        <v>304</v>
      </c>
      <c r="D31" s="15" t="s">
        <v>327</v>
      </c>
    </row>
    <row r="32" spans="1:4" ht="14.65" thickBot="1" x14ac:dyDescent="0.5">
      <c r="A32" s="6" t="s">
        <v>278</v>
      </c>
      <c r="B32" s="15" t="s">
        <v>321</v>
      </c>
      <c r="C32" s="16" t="s">
        <v>313</v>
      </c>
      <c r="D32" s="15" t="s">
        <v>328</v>
      </c>
    </row>
  </sheetData>
  <mergeCells count="4">
    <mergeCell ref="A1:D3"/>
    <mergeCell ref="A4:A5"/>
    <mergeCell ref="C4:D4"/>
    <mergeCell ref="C5:D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2775-DC76-42BF-A139-F52345C802BB}">
  <dimension ref="A1:J34"/>
  <sheetViews>
    <sheetView tabSelected="1" zoomScaleNormal="100" workbookViewId="0">
      <selection sqref="A1:D3"/>
    </sheetView>
  </sheetViews>
  <sheetFormatPr defaultRowHeight="14.25" x14ac:dyDescent="0.45"/>
  <cols>
    <col min="1" max="1" width="30.6640625" bestFit="1" customWidth="1"/>
    <col min="2" max="2" width="19.3984375" bestFit="1" customWidth="1"/>
    <col min="3" max="4" width="16.19921875" bestFit="1" customWidth="1"/>
    <col min="6" max="6" width="15.59765625" customWidth="1"/>
    <col min="7" max="7" width="19.3984375" bestFit="1" customWidth="1"/>
    <col min="8" max="9" width="16.19921875" bestFit="1" customWidth="1"/>
    <col min="18" max="18" width="9" bestFit="1" customWidth="1"/>
    <col min="19" max="19" width="22.86328125" customWidth="1"/>
    <col min="21" max="21" width="21.73046875" customWidth="1"/>
    <col min="25" max="25" width="18.796875" customWidth="1"/>
  </cols>
  <sheetData>
    <row r="1" spans="1:10" x14ac:dyDescent="0.45">
      <c r="A1" s="133" t="s">
        <v>400</v>
      </c>
      <c r="B1" s="133"/>
      <c r="C1" s="133"/>
      <c r="D1" s="133"/>
    </row>
    <row r="2" spans="1:10" x14ac:dyDescent="0.45">
      <c r="A2" s="133"/>
      <c r="B2" s="133"/>
      <c r="C2" s="133"/>
      <c r="D2" s="133"/>
    </row>
    <row r="3" spans="1:10" x14ac:dyDescent="0.45">
      <c r="A3" s="153"/>
      <c r="B3" s="153"/>
      <c r="C3" s="153"/>
      <c r="D3" s="153"/>
    </row>
    <row r="4" spans="1:10" ht="26.65" customHeight="1" x14ac:dyDescent="0.65">
      <c r="A4" s="152" t="s">
        <v>358</v>
      </c>
      <c r="B4" s="152"/>
      <c r="C4" s="152"/>
      <c r="D4" s="152"/>
      <c r="J4" s="114"/>
    </row>
    <row r="5" spans="1:10" x14ac:dyDescent="0.45">
      <c r="A5" s="116" t="s">
        <v>357</v>
      </c>
      <c r="B5" s="116" t="s">
        <v>359</v>
      </c>
      <c r="C5" s="116" t="s">
        <v>360</v>
      </c>
      <c r="D5" s="116" t="s">
        <v>361</v>
      </c>
    </row>
    <row r="6" spans="1:10" x14ac:dyDescent="0.45">
      <c r="A6" s="116" t="s">
        <v>227</v>
      </c>
      <c r="B6" s="2">
        <v>28</v>
      </c>
      <c r="C6" s="2">
        <v>30</v>
      </c>
      <c r="D6" s="2">
        <v>30</v>
      </c>
    </row>
    <row r="7" spans="1:10" x14ac:dyDescent="0.45">
      <c r="A7" s="116" t="s">
        <v>228</v>
      </c>
      <c r="B7" s="2">
        <v>25</v>
      </c>
      <c r="C7" s="2">
        <v>29</v>
      </c>
      <c r="D7" s="2">
        <v>30</v>
      </c>
    </row>
    <row r="8" spans="1:10" x14ac:dyDescent="0.45">
      <c r="A8" s="116" t="s">
        <v>229</v>
      </c>
      <c r="B8" s="2">
        <v>28</v>
      </c>
      <c r="C8" s="2">
        <v>29</v>
      </c>
      <c r="D8" s="2">
        <v>30</v>
      </c>
    </row>
    <row r="9" spans="1:10" x14ac:dyDescent="0.45">
      <c r="A9" s="116" t="s">
        <v>230</v>
      </c>
      <c r="B9" s="2">
        <v>23</v>
      </c>
      <c r="C9" s="2">
        <v>25</v>
      </c>
      <c r="D9" s="2">
        <v>30</v>
      </c>
    </row>
    <row r="10" spans="1:10" x14ac:dyDescent="0.45">
      <c r="A10" s="116" t="s">
        <v>231</v>
      </c>
      <c r="B10" s="2">
        <v>30</v>
      </c>
      <c r="C10" s="2">
        <v>30</v>
      </c>
      <c r="D10" s="2">
        <v>30</v>
      </c>
    </row>
    <row r="11" spans="1:10" x14ac:dyDescent="0.45">
      <c r="A11" s="116" t="s">
        <v>211</v>
      </c>
      <c r="B11" s="2">
        <v>29</v>
      </c>
      <c r="C11" s="2">
        <v>30</v>
      </c>
      <c r="D11" s="2">
        <v>29</v>
      </c>
    </row>
    <row r="12" spans="1:10" x14ac:dyDescent="0.45">
      <c r="A12" s="116" t="s">
        <v>212</v>
      </c>
      <c r="B12" s="2">
        <v>30</v>
      </c>
      <c r="C12" s="2">
        <v>30</v>
      </c>
      <c r="D12" s="2">
        <v>30</v>
      </c>
    </row>
    <row r="13" spans="1:10" x14ac:dyDescent="0.45">
      <c r="A13" s="116" t="s">
        <v>213</v>
      </c>
      <c r="B13" s="2">
        <v>25</v>
      </c>
      <c r="C13" s="2">
        <v>29</v>
      </c>
      <c r="D13" s="2">
        <v>30</v>
      </c>
    </row>
    <row r="14" spans="1:10" x14ac:dyDescent="0.45">
      <c r="A14" s="116" t="s">
        <v>214</v>
      </c>
      <c r="B14" s="2">
        <v>29</v>
      </c>
      <c r="C14" s="2">
        <v>28</v>
      </c>
      <c r="D14" s="2">
        <v>30</v>
      </c>
    </row>
    <row r="15" spans="1:10" x14ac:dyDescent="0.45">
      <c r="A15" s="116" t="s">
        <v>215</v>
      </c>
      <c r="B15" s="2">
        <v>27</v>
      </c>
      <c r="C15" s="2">
        <v>30</v>
      </c>
      <c r="D15" s="2">
        <v>30</v>
      </c>
    </row>
    <row r="16" spans="1:10" x14ac:dyDescent="0.45">
      <c r="A16" s="116" t="s">
        <v>216</v>
      </c>
      <c r="B16" s="2">
        <v>20</v>
      </c>
      <c r="C16" s="2">
        <v>28</v>
      </c>
      <c r="D16" s="2">
        <v>30</v>
      </c>
    </row>
    <row r="17" spans="1:4" x14ac:dyDescent="0.45">
      <c r="A17" s="116" t="s">
        <v>217</v>
      </c>
      <c r="B17" s="2">
        <v>25</v>
      </c>
      <c r="C17" s="2">
        <v>29</v>
      </c>
      <c r="D17" s="2">
        <v>26</v>
      </c>
    </row>
    <row r="18" spans="1:4" x14ac:dyDescent="0.45">
      <c r="A18" s="116" t="s">
        <v>218</v>
      </c>
      <c r="B18" s="2">
        <v>30</v>
      </c>
      <c r="C18" s="2">
        <v>30</v>
      </c>
      <c r="D18" s="2">
        <v>30</v>
      </c>
    </row>
    <row r="19" spans="1:4" x14ac:dyDescent="0.45">
      <c r="A19" s="116" t="s">
        <v>219</v>
      </c>
      <c r="B19" s="2">
        <v>16</v>
      </c>
      <c r="C19" s="2">
        <v>18</v>
      </c>
      <c r="D19" s="2">
        <v>30</v>
      </c>
    </row>
    <row r="20" spans="1:4" x14ac:dyDescent="0.45">
      <c r="A20" s="116" t="s">
        <v>220</v>
      </c>
      <c r="B20" s="2">
        <v>22</v>
      </c>
      <c r="C20" s="2">
        <v>30</v>
      </c>
      <c r="D20" s="2">
        <v>30</v>
      </c>
    </row>
    <row r="21" spans="1:4" x14ac:dyDescent="0.45">
      <c r="A21" s="116" t="s">
        <v>221</v>
      </c>
      <c r="B21" s="2">
        <v>27</v>
      </c>
      <c r="C21" s="2">
        <v>30</v>
      </c>
      <c r="D21" s="2">
        <v>30</v>
      </c>
    </row>
    <row r="22" spans="1:4" x14ac:dyDescent="0.45">
      <c r="A22" s="116" t="s">
        <v>222</v>
      </c>
      <c r="B22" s="2">
        <v>30</v>
      </c>
      <c r="C22" s="2">
        <v>30</v>
      </c>
      <c r="D22" s="2">
        <v>30</v>
      </c>
    </row>
    <row r="23" spans="1:4" x14ac:dyDescent="0.45">
      <c r="A23" s="116" t="s">
        <v>223</v>
      </c>
      <c r="B23" s="2">
        <v>22</v>
      </c>
      <c r="C23" s="2">
        <v>30</v>
      </c>
      <c r="D23" s="2">
        <v>30</v>
      </c>
    </row>
    <row r="24" spans="1:4" x14ac:dyDescent="0.45">
      <c r="A24" s="116" t="s">
        <v>224</v>
      </c>
      <c r="B24" s="2">
        <v>30</v>
      </c>
      <c r="C24" s="2">
        <v>30</v>
      </c>
      <c r="D24" s="2">
        <v>30</v>
      </c>
    </row>
    <row r="25" spans="1:4" x14ac:dyDescent="0.45">
      <c r="A25" s="116" t="s">
        <v>225</v>
      </c>
      <c r="B25" s="2">
        <v>30</v>
      </c>
      <c r="C25" s="2">
        <v>30</v>
      </c>
      <c r="D25" s="2">
        <v>30</v>
      </c>
    </row>
    <row r="26" spans="1:4" x14ac:dyDescent="0.45">
      <c r="A26" s="116" t="s">
        <v>226</v>
      </c>
      <c r="B26" s="2">
        <v>27</v>
      </c>
      <c r="C26" s="2">
        <v>30</v>
      </c>
      <c r="D26" s="2">
        <v>30</v>
      </c>
    </row>
    <row r="27" spans="1:4" x14ac:dyDescent="0.45">
      <c r="A27" s="116" t="s">
        <v>352</v>
      </c>
      <c r="B27" s="2">
        <v>26</v>
      </c>
      <c r="C27" s="2">
        <v>30</v>
      </c>
      <c r="D27" s="2">
        <v>30</v>
      </c>
    </row>
    <row r="28" spans="1:4" x14ac:dyDescent="0.45">
      <c r="A28" s="116" t="s">
        <v>353</v>
      </c>
      <c r="B28" s="2">
        <v>30</v>
      </c>
      <c r="C28" s="2">
        <v>30</v>
      </c>
      <c r="D28" s="2">
        <v>30</v>
      </c>
    </row>
    <row r="29" spans="1:4" x14ac:dyDescent="0.45">
      <c r="A29" s="116" t="s">
        <v>354</v>
      </c>
      <c r="B29" s="2">
        <v>30</v>
      </c>
      <c r="C29" s="2">
        <v>29</v>
      </c>
      <c r="D29" s="2">
        <v>30</v>
      </c>
    </row>
    <row r="30" spans="1:4" x14ac:dyDescent="0.45">
      <c r="A30" s="116" t="s">
        <v>268</v>
      </c>
      <c r="B30" s="2">
        <v>23</v>
      </c>
      <c r="C30" s="2">
        <v>28</v>
      </c>
      <c r="D30" s="2">
        <v>30</v>
      </c>
    </row>
    <row r="31" spans="1:4" x14ac:dyDescent="0.45">
      <c r="A31" s="116" t="s">
        <v>355</v>
      </c>
      <c r="B31" s="2">
        <v>13</v>
      </c>
      <c r="C31" s="2">
        <v>17</v>
      </c>
      <c r="D31" s="2">
        <v>30</v>
      </c>
    </row>
    <row r="32" spans="1:4" x14ac:dyDescent="0.45">
      <c r="A32" s="116" t="s">
        <v>356</v>
      </c>
      <c r="B32" s="2">
        <v>18</v>
      </c>
      <c r="C32" s="2">
        <v>26</v>
      </c>
      <c r="D32" s="2">
        <v>28</v>
      </c>
    </row>
    <row r="33" spans="1:4" x14ac:dyDescent="0.45">
      <c r="A33" s="116" t="s">
        <v>362</v>
      </c>
      <c r="B33" s="2">
        <v>693</v>
      </c>
      <c r="C33" s="2">
        <v>765</v>
      </c>
      <c r="D33" s="2">
        <v>803</v>
      </c>
    </row>
    <row r="34" spans="1:4" x14ac:dyDescent="0.45">
      <c r="A34" s="116" t="s">
        <v>363</v>
      </c>
      <c r="B34" s="115">
        <v>85.555555555555557</v>
      </c>
      <c r="C34" s="115">
        <v>94.444444444444443</v>
      </c>
      <c r="D34" s="115">
        <v>99.135802469135797</v>
      </c>
    </row>
  </sheetData>
  <mergeCells count="2">
    <mergeCell ref="A4:D4"/>
    <mergeCell ref="A1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'Table 1'!_Ref219228487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Alhazmi, Meshari</dc:creator>
  <cp:lastModifiedBy>Alhazmi, Meshari</cp:lastModifiedBy>
  <cp:lastPrinted>2025-10-09T04:11:03Z</cp:lastPrinted>
  <dcterms:created xsi:type="dcterms:W3CDTF">2025-05-14T05:57:11Z</dcterms:created>
  <dcterms:modified xsi:type="dcterms:W3CDTF">2026-01-15T21:37:58Z</dcterms:modified>
</cp:coreProperties>
</file>